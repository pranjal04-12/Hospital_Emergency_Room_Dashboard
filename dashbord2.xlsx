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OneDrive\Scans\certificate\excel project 2 seperate 3hours lec\"/>
    </mc:Choice>
  </mc:AlternateContent>
  <xr:revisionPtr revIDLastSave="0" documentId="13_ncr:1_{F69B180C-F686-4DE1-A638-C4C79A1AE072}" xr6:coauthVersionLast="47" xr6:coauthVersionMax="47" xr10:uidLastSave="{00000000-0000-0000-0000-000000000000}"/>
  <bookViews>
    <workbookView xWindow="-108" yWindow="-108" windowWidth="23256" windowHeight="12456" activeTab="2" xr2:uid="{631D26ED-368C-4520-B98B-18D87DA9540E}"/>
  </bookViews>
  <sheets>
    <sheet name="Sheet1" sheetId="6" r:id="rId1"/>
    <sheet name="Pivot Report" sheetId="1" r:id="rId2"/>
    <sheet name="Dashboard" sheetId="2" r:id="rId3"/>
    <sheet name="daily er no. of patients" sheetId="3" r:id="rId4"/>
    <sheet name="average wait time of patients" sheetId="4" r:id="rId5"/>
    <sheet name="satisfictation score daily tren" sheetId="5" r:id="rId6"/>
  </sheets>
  <definedNames>
    <definedName name="ExternalData_1" localSheetId="0" hidden="1">Sheet1!$A$3:$M$28</definedName>
    <definedName name="Slicer_Date__Month">#N/A</definedName>
    <definedName name="Slicer_Date__Year">#N/A</definedName>
  </definedNames>
  <calcPr calcId="191029"/>
  <pivotCaches>
    <pivotCache cacheId="303" r:id="rId7"/>
    <pivotCache cacheId="306" r:id="rId8"/>
    <pivotCache cacheId="309" r:id="rId9"/>
    <pivotCache cacheId="312" r:id="rId10"/>
    <pivotCache cacheId="315" r:id="rId11"/>
    <pivotCache cacheId="318" r:id="rId12"/>
    <pivotCache cacheId="321" r:id="rId13"/>
    <pivotCache cacheId="324" r:id="rId14"/>
    <pivotCache cacheId="327" r:id="rId15"/>
    <pivotCache cacheId="330" r:id="rId16"/>
    <pivotCache cacheId="333" r:id="rId17"/>
    <pivotCache cacheId="336"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a0efcb1-dfcf-46c4-b88d-2b4270aa805d" name="Hospital Emergency Room Data" connection="Query - Hospital Emergency Room Data"/>
          <x15:modelTable id="Calendar_table_520e8202-5c22-48aa-993e-6bb61ce21f4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3" i="1" l="1"/>
  <c r="C53" i="1"/>
  <c r="B53" i="1"/>
  <c r="A54" i="1"/>
  <c r="B54" i="1"/>
  <c r="C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194C48-3538-4286-8802-6E94CB3B0E8C}" keepAlive="1" name="ModelConnection_ExternalData_1" description="Data Model" type="5" refreshedVersion="8" minRefreshableVersion="5" saveData="1">
    <dbPr connection="Data Model Connection" command="DRILLTHROUGH MAXROWS 1000 SELECT FROM [Model] WHERE (([Calendar_table].[Date (Month)].&amp;[Jun],[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1ADC546-8E46-40CF-9913-EFCD92E448D0}" name="Query - Calendar_table" description="Connection to the 'Calendar_table' query in the workbook." type="100" refreshedVersion="8" minRefreshableVersion="5">
    <extLst>
      <ext xmlns:x15="http://schemas.microsoft.com/office/spreadsheetml/2010/11/main" uri="{DE250136-89BD-433C-8126-D09CA5730AF9}">
        <x15:connection id="f1a8d830-84ca-46f8-94bc-4d40f4035fba"/>
      </ext>
    </extLst>
  </connection>
  <connection id="3" xr16:uid="{89B028BD-BAF9-4040-8F61-C283D00323E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c32d9c4-5d7c-4764-b70f-2a72be1fa6af"/>
      </ext>
    </extLst>
  </connection>
  <connection id="4" xr16:uid="{37C3E9AB-EF10-4DD7-ABF8-2A0C6BDFA37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<sst xmlns="http://schemas.openxmlformats.org/spreadsheetml/2006/main" count="374" uniqueCount="149">
  <si>
    <t>Distinct Count of Patient Id</t>
  </si>
  <si>
    <t>No. of Patient</t>
  </si>
  <si>
    <t>Average of Patient Waittime</t>
  </si>
  <si>
    <t>Average of Patient Satisfaction Score</t>
  </si>
  <si>
    <t>Row Labels</t>
  </si>
  <si>
    <t>Grand Total</t>
  </si>
  <si>
    <t>Show a daily trend with an area sparkline to spotpatterns like busy days orseasonal trends</t>
  </si>
  <si>
    <t>daily trends of no. of patients</t>
  </si>
  <si>
    <t>average wait time</t>
  </si>
  <si>
    <t xml:space="preserve">            Use an area chart to track daily challenges and highlight days with longer wait tmes that might need improvements</t>
  </si>
  <si>
    <t xml:space="preserve">            Use an area chart to show trends, spot drops in satisfication, and link them to busy times or challenges</t>
  </si>
  <si>
    <t>satisfiction score daily trend</t>
  </si>
  <si>
    <t>Count of Patient Admission Flag</t>
  </si>
  <si>
    <t>Admitted</t>
  </si>
  <si>
    <t>Not Admitted</t>
  </si>
  <si>
    <t>Count of Patient Admission Flag2</t>
  </si>
  <si>
    <t>Admission Status</t>
  </si>
  <si>
    <t>%Status</t>
  </si>
  <si>
    <t>0-09</t>
  </si>
  <si>
    <t>10-19</t>
  </si>
  <si>
    <t>20-29</t>
  </si>
  <si>
    <t>30-39</t>
  </si>
  <si>
    <t>40-49</t>
  </si>
  <si>
    <t>50-59</t>
  </si>
  <si>
    <t>60-69</t>
  </si>
  <si>
    <t>70-79</t>
  </si>
  <si>
    <t>Count of Age Group</t>
  </si>
  <si>
    <t>age group wise analysis</t>
  </si>
  <si>
    <t>Delay</t>
  </si>
  <si>
    <t>Ontime</t>
  </si>
  <si>
    <t>Count of Patient attend Status</t>
  </si>
  <si>
    <t>Patient attended status</t>
  </si>
  <si>
    <t>Female</t>
  </si>
  <si>
    <t>Male</t>
  </si>
  <si>
    <t>Count of Patient Gender</t>
  </si>
  <si>
    <t>gender wise analysis</t>
  </si>
  <si>
    <t>Cardiology</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</si>
  <si>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</si>
  <si>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</si>
  <si>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</si>
  <si>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</si>
  <si>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</si>
  <si>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</si>
  <si>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</si>
  <si>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</si>
  <si>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</si>
  <si>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</si>
  <si>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</si>
  <si>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</si>
  <si>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</si>
  <si>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257-20-4587</t>
  </si>
  <si>
    <t>P. Theobald</t>
  </si>
  <si>
    <t>Asian</t>
  </si>
  <si>
    <t>551-02-4054</t>
  </si>
  <si>
    <t>O. Gull</t>
  </si>
  <si>
    <t>African American</t>
  </si>
  <si>
    <t>894-34-5445</t>
  </si>
  <si>
    <t>P. Mariolle</t>
  </si>
  <si>
    <t>884-30-0023</t>
  </si>
  <si>
    <t>C. Rechert</t>
  </si>
  <si>
    <t>Declined to Identify</t>
  </si>
  <si>
    <t>671-07-3129</t>
  </si>
  <si>
    <t>R. Dumbrill</t>
  </si>
  <si>
    <t>Native American/Alaska Native</t>
  </si>
  <si>
    <t>231-44-6158</t>
  </si>
  <si>
    <t>M. Collidge</t>
  </si>
  <si>
    <t>Two or More Races</t>
  </si>
  <si>
    <t>497-25-0031</t>
  </si>
  <si>
    <t>T. Grindall</t>
  </si>
  <si>
    <t>839-52-8308</t>
  </si>
  <si>
    <t>L. Scanderet</t>
  </si>
  <si>
    <t>195-51-1109</t>
  </si>
  <si>
    <t>D. Earpe</t>
  </si>
  <si>
    <t>White</t>
  </si>
  <si>
    <t>441-46-8707</t>
  </si>
  <si>
    <t>D. Filochov</t>
  </si>
  <si>
    <t>145-40-1045</t>
  </si>
  <si>
    <t>V. Prangle</t>
  </si>
  <si>
    <t>509-82-3979</t>
  </si>
  <si>
    <t>J. Gamlen</t>
  </si>
  <si>
    <t>382-86-3011</t>
  </si>
  <si>
    <t>I. Shrigley</t>
  </si>
  <si>
    <t>Pacific Islander</t>
  </si>
  <si>
    <t>407-58-6440</t>
  </si>
  <si>
    <t>G. Meneyer</t>
  </si>
  <si>
    <t>576-57-4936</t>
  </si>
  <si>
    <t>Q. Headingham</t>
  </si>
  <si>
    <t>391-91-5708</t>
  </si>
  <si>
    <t>X. Rumble</t>
  </si>
  <si>
    <t>118-32-9062</t>
  </si>
  <si>
    <t>A. Mattosoff</t>
  </si>
  <si>
    <t>895-41-3196</t>
  </si>
  <si>
    <t>H. Mattersley</t>
  </si>
  <si>
    <t>433-30-7441</t>
  </si>
  <si>
    <t>E. Binham</t>
  </si>
  <si>
    <t>234-94-2985</t>
  </si>
  <si>
    <t>P. Garlee</t>
  </si>
  <si>
    <t>444-32-3923</t>
  </si>
  <si>
    <t>T. Lawie</t>
  </si>
  <si>
    <t>880-77-9403</t>
  </si>
  <si>
    <t>W. Benbrick</t>
  </si>
  <si>
    <t>124-08-6381</t>
  </si>
  <si>
    <t>W. Keyworth</t>
  </si>
  <si>
    <t>678-33-6326</t>
  </si>
  <si>
    <t>H. O'Dowd</t>
  </si>
  <si>
    <t>461-55-0550</t>
  </si>
  <si>
    <t>L. Fawlks</t>
  </si>
  <si>
    <t>Data returned for Count of Department Referral, Cardiology, Jun (First 1000 rows).</t>
  </si>
  <si>
    <t>2024</t>
  </si>
  <si>
    <t>Gastroenterology</t>
  </si>
  <si>
    <t>General Practice</t>
  </si>
  <si>
    <t>Neurology</t>
  </si>
  <si>
    <t>None</t>
  </si>
  <si>
    <t>Orthopedics</t>
  </si>
  <si>
    <t>Physiotherapy</t>
  </si>
  <si>
    <t>Renal</t>
  </si>
  <si>
    <t>Count of Department Referral</t>
  </si>
  <si>
    <t>no. of patitent by 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</si>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</sst>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20"/>
      <color theme="1"/>
      <name val="Calibri"/>
      <family val="2"/>
      <scheme val="minor"/>
    </font>
    <font>
      <sz val="18"/>
      <color theme="0"/>
      <name val="Calibri"/>
      <family val="2"/>
      <scheme val="minor"/>
    </font>
    <font>
      <sz val="11"/>
      <color theme="1"/>
      <name val="Calibri"/>
      <family val="2"/>
      <scheme val="minor"/>
    </font>
    <font>
      <b/>
      <sz val="11"/>
      <color theme="1"/>
      <name val="Calibri"/>
      <family val="2"/>
      <scheme val="minor"/>
    </font>
    <font>
      <sz val="9"/>
      <color rgb="FF000000"/>
      <name val="Calibri"/>
      <family val="2"/>
      <scheme val="minor"/>
    </font>
  </fonts>
  <fills count="10">
    <fill>
      <patternFill patternType="none"/>
    </fill>
    <fill>
      <patternFill patternType="gray125"/>
    </fill>
    <fill>
      <patternFill patternType="solid">
        <fgColor theme="1" tint="0.34998626667073579"/>
        <bgColor indexed="64"/>
      </patternFill>
    </fill>
    <fill>
      <patternFill patternType="solid">
        <fgColor theme="2" tint="-0.89999084444715716"/>
        <bgColor indexed="64"/>
      </patternFill>
    </fill>
    <fill>
      <patternFill patternType="solid">
        <fgColor rgb="FFC5D3FF"/>
        <bgColor indexed="64"/>
      </patternFill>
    </fill>
    <fill>
      <patternFill patternType="solid">
        <fgColor theme="1" tint="4.9989318521683403E-2"/>
        <bgColor indexed="64"/>
      </patternFill>
    </fill>
    <fill>
      <patternFill patternType="solid">
        <fgColor rgb="FF00B0F0"/>
        <bgColor indexed="64"/>
      </patternFill>
    </fill>
    <fill>
      <patternFill patternType="solid">
        <fgColor rgb="FF63A4F7"/>
        <bgColor indexed="64"/>
      </patternFill>
    </fill>
    <fill>
      <patternFill patternType="solid">
        <fgColor theme="2" tint="-9.9978637043366805E-2"/>
        <bgColor indexed="64"/>
      </patternFill>
    </fill>
    <fill>
      <patternFill patternType="solid">
        <fgColor theme="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1" fillId="4" borderId="0" xfId="0" applyFont="1" applyFill="1"/>
    <xf numFmtId="0" fontId="0" fillId="5" borderId="0" xfId="0" applyFill="1"/>
    <xf numFmtId="0" fontId="2" fillId="6" borderId="0" xfId="0" applyFont="1" applyFill="1"/>
    <xf numFmtId="0" fontId="0" fillId="6" borderId="0" xfId="0" applyFill="1"/>
    <xf numFmtId="1" fontId="0" fillId="0" borderId="0" xfId="0" applyNumberFormat="1"/>
    <xf numFmtId="10" fontId="0" fillId="0" borderId="0" xfId="0" applyNumberFormat="1"/>
    <xf numFmtId="0" fontId="0" fillId="7" borderId="0" xfId="0" applyFill="1" applyAlignment="1">
      <alignment horizontal="center"/>
    </xf>
    <xf numFmtId="0" fontId="0" fillId="8" borderId="0" xfId="0" applyFill="1" applyAlignment="1">
      <alignment horizontal="center"/>
    </xf>
    <xf numFmtId="9" fontId="0" fillId="8" borderId="0" xfId="1" applyFont="1" applyFill="1" applyAlignment="1">
      <alignment horizontal="center"/>
    </xf>
    <xf numFmtId="0" fontId="4" fillId="7" borderId="0" xfId="0" applyFont="1" applyFill="1" applyAlignment="1">
      <alignment horizontal="center"/>
    </xf>
    <xf numFmtId="0" fontId="5" fillId="0" borderId="0" xfId="0" applyFont="1" applyAlignment="1">
      <alignment horizontal="center" vertical="center"/>
    </xf>
    <xf numFmtId="14" fontId="0" fillId="0" borderId="0" xfId="0" applyNumberFormat="1"/>
    <xf numFmtId="21" fontId="0" fillId="0" borderId="0" xfId="0" applyNumberFormat="1"/>
    <xf numFmtId="0" fontId="4" fillId="0" borderId="0" xfId="0" applyFont="1"/>
    <xf numFmtId="0" fontId="0" fillId="0" borderId="0" xfId="0" applyAlignment="1">
      <alignment horizontal="center"/>
    </xf>
    <xf numFmtId="0" fontId="2" fillId="6" borderId="0" xfId="0" applyFont="1" applyFill="1" applyAlignment="1">
      <alignment horizontal="center"/>
    </xf>
    <xf numFmtId="0" fontId="0" fillId="0" borderId="0" xfId="0" applyNumberFormat="1"/>
    <xf numFmtId="0" fontId="0" fillId="9" borderId="0" xfId="0" applyFill="1"/>
  </cellXfs>
  <cellStyles count="2">
    <cellStyle name="Normal" xfId="0" builtinId="0"/>
    <cellStyle name="Percent" xfId="1" builtinId="5"/>
  </cellStyles>
  <dxfs count="114">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26" formatCode="h:mm:ss"/>
    </dxf>
    <dxf>
      <numFmt numFmtId="19" formatCode="dd/mm/yyyy"/>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639137A7-D979-4F31-B655-87AE1C0319F0}">
      <tableStyleElement type="wholeTable" dxfId="113"/>
      <tableStyleElement type="headerRow" dxfId="112"/>
    </tableStyle>
  </tableStyles>
  <colors>
    <mruColors>
      <color rgb="FFEE54BE"/>
      <color rgb="FF43C0FF"/>
      <color rgb="FFA3E0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16E903-A937-49A3-A5D7-D1C490D09AD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1.484424941151697E-2"/>
          <c:y val="1.958661417322834E-2"/>
          <c:w val="0.26543668073009496"/>
          <c:h val="0.78240740740740744"/>
        </c:manualLayout>
      </c:layout>
      <c:barChart>
        <c:barDir val="bar"/>
        <c:grouping val="clustered"/>
        <c:varyColors val="0"/>
        <c:ser>
          <c:idx val="0"/>
          <c:order val="0"/>
          <c:tx>
            <c:strRef>
              <c:f>'Pivot Report'!$B$44</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C82-4D62-8DD7-B4AD44D09A48}"/>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1C82-4D62-8DD7-B4AD44D09A48}"/>
              </c:ext>
            </c:extLst>
          </c:dPt>
          <c:dLbls>
            <c:dLbl>
              <c:idx val="0"/>
              <c:tx>
                <c:rich>
                  <a:bodyPr/>
                  <a:lstStyle/>
                  <a:p>
                    <a:fld id="{DD16E903-A937-49A3-A5D7-D1C490D09AD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C82-4D62-8DD7-B4AD44D09A48}"/>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Report'!$A$45:$A$47</c:f>
              <c:strCache>
                <c:ptCount val="2"/>
                <c:pt idx="0">
                  <c:v>Admitted</c:v>
                </c:pt>
                <c:pt idx="1">
                  <c:v>Not Admitted</c:v>
                </c:pt>
              </c:strCache>
            </c:strRef>
          </c:cat>
          <c:val>
            <c:numRef>
              <c:f>'Pivot Report'!$B$45:$B$47</c:f>
              <c:numCache>
                <c:formatCode>0</c:formatCode>
                <c:ptCount val="2"/>
                <c:pt idx="0">
                  <c:v>266</c:v>
                </c:pt>
                <c:pt idx="1">
                  <c:v>253</c:v>
                </c:pt>
              </c:numCache>
            </c:numRef>
          </c:val>
          <c:extLst>
            <c:ext xmlns:c16="http://schemas.microsoft.com/office/drawing/2014/chart" uri="{C3380CC4-5D6E-409C-BE32-E72D297353CC}">
              <c16:uniqueId val="{0000000D-DC44-4968-AB84-0214EE277FDF}"/>
            </c:ext>
          </c:extLst>
        </c:ser>
        <c:ser>
          <c:idx val="1"/>
          <c:order val="1"/>
          <c:tx>
            <c:strRef>
              <c:f>'Pivot Report'!$C$44</c:f>
              <c:strCache>
                <c:ptCount val="1"/>
                <c:pt idx="0">
                  <c:v>Count of Patient Admission Flag2</c:v>
                </c:pt>
              </c:strCache>
            </c:strRef>
          </c:tx>
          <c:spPr>
            <a:solidFill>
              <a:schemeClr val="accent2"/>
            </a:solidFill>
            <a:ln>
              <a:noFill/>
            </a:ln>
            <a:effectLst/>
          </c:spPr>
          <c:invertIfNegative val="0"/>
          <c:cat>
            <c:strRef>
              <c:f>'Pivot Report'!$A$45:$A$47</c:f>
              <c:strCache>
                <c:ptCount val="2"/>
                <c:pt idx="0">
                  <c:v>Admitted</c:v>
                </c:pt>
                <c:pt idx="1">
                  <c:v>Not Admitted</c:v>
                </c:pt>
              </c:strCache>
            </c:strRef>
          </c:cat>
          <c:val>
            <c:numRef>
              <c:f>'Pivot Report'!$C$45:$C$47</c:f>
              <c:numCache>
                <c:formatCode>0.00%</c:formatCode>
                <c:ptCount val="2"/>
                <c:pt idx="0">
                  <c:v>0.51252408477842004</c:v>
                </c:pt>
                <c:pt idx="1">
                  <c:v>0.48747591522157996</c:v>
                </c:pt>
              </c:numCache>
            </c:numRef>
          </c:val>
          <c:extLst>
            <c:ext xmlns:c16="http://schemas.microsoft.com/office/drawing/2014/chart" uri="{C3380CC4-5D6E-409C-BE32-E72D297353CC}">
              <c16:uniqueId val="{0000000E-DC44-4968-AB84-0214EE277FDF}"/>
            </c:ext>
          </c:extLst>
        </c:ser>
        <c:dLbls>
          <c:showLegendKey val="0"/>
          <c:showVal val="0"/>
          <c:showCatName val="0"/>
          <c:showSerName val="0"/>
          <c:showPercent val="0"/>
          <c:showBubbleSize val="0"/>
        </c:dLbls>
        <c:gapWidth val="0"/>
        <c:axId val="919334783"/>
        <c:axId val="919331423"/>
      </c:barChart>
      <c:catAx>
        <c:axId val="919334783"/>
        <c:scaling>
          <c:orientation val="minMax"/>
        </c:scaling>
        <c:delete val="1"/>
        <c:axPos val="l"/>
        <c:numFmt formatCode="General" sourceLinked="1"/>
        <c:majorTickMark val="none"/>
        <c:minorTickMark val="none"/>
        <c:tickLblPos val="nextTo"/>
        <c:crossAx val="919331423"/>
        <c:crosses val="autoZero"/>
        <c:auto val="1"/>
        <c:lblAlgn val="ctr"/>
        <c:lblOffset val="100"/>
        <c:noMultiLvlLbl val="0"/>
      </c:catAx>
      <c:valAx>
        <c:axId val="919331423"/>
        <c:scaling>
          <c:orientation val="minMax"/>
        </c:scaling>
        <c:delete val="1"/>
        <c:axPos val="b"/>
        <c:numFmt formatCode="0" sourceLinked="1"/>
        <c:majorTickMark val="none"/>
        <c:minorTickMark val="none"/>
        <c:tickLblPos val="nextTo"/>
        <c:crossAx val="9193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Report!PivotTable5</c:name>
    <c:fmtId val="7"/>
  </c:pivotSource>
  <c:chart>
    <c:autoTitleDeleted val="1"/>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solidFill>
              <a:schemeClr val="accent5">
                <a:lumMod val="50000"/>
              </a:schemeClr>
            </a:solidFill>
            <a:ln w="25400">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5-94AB-47B0-A21C-9DE0BD713D5A}"/>
            </c:ext>
          </c:extLst>
        </c:ser>
        <c:dLbls>
          <c:showLegendKey val="0"/>
          <c:showVal val="0"/>
          <c:showCatName val="0"/>
          <c:showSerName val="0"/>
          <c:showPercent val="0"/>
          <c:showBubbleSize val="0"/>
        </c:dLbls>
        <c:axId val="1507587872"/>
        <c:axId val="1507588832"/>
      </c:areaChart>
      <c:catAx>
        <c:axId val="1507587872"/>
        <c:scaling>
          <c:orientation val="minMax"/>
        </c:scaling>
        <c:delete val="1"/>
        <c:axPos val="b"/>
        <c:numFmt formatCode="General" sourceLinked="1"/>
        <c:majorTickMark val="out"/>
        <c:minorTickMark val="none"/>
        <c:tickLblPos val="nextTo"/>
        <c:crossAx val="1507588832"/>
        <c:crosses val="autoZero"/>
        <c:auto val="1"/>
        <c:lblAlgn val="ctr"/>
        <c:lblOffset val="100"/>
        <c:noMultiLvlLbl val="0"/>
      </c:catAx>
      <c:valAx>
        <c:axId val="1507588832"/>
        <c:scaling>
          <c:orientation val="minMax"/>
        </c:scaling>
        <c:delete val="1"/>
        <c:axPos val="l"/>
        <c:numFmt formatCode="General" sourceLinked="1"/>
        <c:majorTickMark val="none"/>
        <c:minorTickMark val="none"/>
        <c:tickLblPos val="nextTo"/>
        <c:crossAx val="1507587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Report!PivotTable2</c:name>
    <c:fmtId val="41"/>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414616471858994"/>
          <c:w val="1"/>
          <c:h val="0.840911149584606"/>
        </c:manualLayout>
      </c:layout>
      <c:areaChart>
        <c:grouping val="standard"/>
        <c:varyColors val="0"/>
        <c:ser>
          <c:idx val="0"/>
          <c:order val="0"/>
          <c:tx>
            <c:strRef>
              <c:f>'Pivot Report'!$H$4</c:f>
              <c:strCache>
                <c:ptCount val="1"/>
                <c:pt idx="0">
                  <c:v>Total</c:v>
                </c:pt>
              </c:strCache>
            </c:strRef>
          </c:tx>
          <c:spPr>
            <a:solidFill>
              <a:schemeClr val="accent5">
                <a:lumMod val="50000"/>
              </a:schemeClr>
            </a:solidFill>
            <a:ln w="25400">
              <a:noFill/>
            </a:ln>
            <a:effectLst/>
          </c:spP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5-06A5-447C-87BE-16AE3705BF39}"/>
            </c:ext>
          </c:extLst>
        </c:ser>
        <c:dLbls>
          <c:showLegendKey val="0"/>
          <c:showVal val="0"/>
          <c:showCatName val="0"/>
          <c:showSerName val="0"/>
          <c:showPercent val="0"/>
          <c:showBubbleSize val="0"/>
        </c:dLbls>
        <c:axId val="1471853872"/>
        <c:axId val="1471855312"/>
      </c:areaChart>
      <c:catAx>
        <c:axId val="1471853872"/>
        <c:scaling>
          <c:orientation val="minMax"/>
        </c:scaling>
        <c:delete val="1"/>
        <c:axPos val="b"/>
        <c:numFmt formatCode="General" sourceLinked="1"/>
        <c:majorTickMark val="out"/>
        <c:minorTickMark val="none"/>
        <c:tickLblPos val="nextTo"/>
        <c:crossAx val="1471855312"/>
        <c:crosses val="autoZero"/>
        <c:auto val="1"/>
        <c:lblAlgn val="ctr"/>
        <c:lblOffset val="100"/>
        <c:noMultiLvlLbl val="0"/>
      </c:catAx>
      <c:valAx>
        <c:axId val="1471855312"/>
        <c:scaling>
          <c:orientation val="minMax"/>
        </c:scaling>
        <c:delete val="1"/>
        <c:axPos val="l"/>
        <c:numFmt formatCode="0.00" sourceLinked="1"/>
        <c:majorTickMark val="none"/>
        <c:minorTickMark val="none"/>
        <c:tickLblPos val="nextTo"/>
        <c:crossAx val="1471853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Report!PivotTable8</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3636394004482941E-2"/>
          <c:w val="1"/>
          <c:h val="0.93636360599551705"/>
        </c:manualLayout>
      </c:layout>
      <c:areaChart>
        <c:grouping val="standard"/>
        <c:varyColors val="0"/>
        <c:ser>
          <c:idx val="0"/>
          <c:order val="0"/>
          <c:tx>
            <c:strRef>
              <c:f>'Pivot Report'!$K$4</c:f>
              <c:strCache>
                <c:ptCount val="1"/>
                <c:pt idx="0">
                  <c:v>Total</c:v>
                </c:pt>
              </c:strCache>
            </c:strRef>
          </c:tx>
          <c:spPr>
            <a:solidFill>
              <a:schemeClr val="accent5">
                <a:lumMod val="50000"/>
              </a:schemeClr>
            </a:solidFill>
            <a:ln w="25400">
              <a:noFill/>
            </a:ln>
            <a:effectLst/>
          </c:spPr>
          <c:cat>
            <c:strRef>
              <c:f>'Pivot Report'!$J$5:$J$36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Report'!$K$5:$K$36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5-DA62-43D1-8523-097FB7D1F063}"/>
            </c:ext>
          </c:extLst>
        </c:ser>
        <c:dLbls>
          <c:showLegendKey val="0"/>
          <c:showVal val="0"/>
          <c:showCatName val="0"/>
          <c:showSerName val="0"/>
          <c:showPercent val="0"/>
          <c:showBubbleSize val="0"/>
        </c:dLbls>
        <c:axId val="2123595311"/>
        <c:axId val="2123595791"/>
      </c:areaChart>
      <c:catAx>
        <c:axId val="2123595311"/>
        <c:scaling>
          <c:orientation val="minMax"/>
        </c:scaling>
        <c:delete val="1"/>
        <c:axPos val="b"/>
        <c:numFmt formatCode="General" sourceLinked="1"/>
        <c:majorTickMark val="out"/>
        <c:minorTickMark val="none"/>
        <c:tickLblPos val="nextTo"/>
        <c:crossAx val="2123595791"/>
        <c:crosses val="autoZero"/>
        <c:auto val="1"/>
        <c:lblAlgn val="ctr"/>
        <c:lblOffset val="100"/>
        <c:noMultiLvlLbl val="0"/>
      </c:catAx>
      <c:valAx>
        <c:axId val="2123595791"/>
        <c:scaling>
          <c:orientation val="minMax"/>
        </c:scaling>
        <c:delete val="1"/>
        <c:axPos val="l"/>
        <c:numFmt formatCode="0.00" sourceLinked="1"/>
        <c:majorTickMark val="none"/>
        <c:minorTickMark val="none"/>
        <c:tickLblPos val="nextTo"/>
        <c:crossAx val="2123595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Report!PivotTable6</c:name>
    <c:fmtId val="45"/>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03040761915026E-2"/>
          <c:y val="6.3926968220746366E-2"/>
          <c:w val="0.91819391847616993"/>
          <c:h val="0.61019448899197737"/>
        </c:manualLayout>
      </c:layout>
      <c:barChart>
        <c:barDir val="col"/>
        <c:grouping val="clustered"/>
        <c:varyColors val="0"/>
        <c:ser>
          <c:idx val="0"/>
          <c:order val="0"/>
          <c:tx>
            <c:strRef>
              <c:f>'Pivot Report'!$B$57</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0-09</c:v>
                </c:pt>
                <c:pt idx="1">
                  <c:v>10-19</c:v>
                </c:pt>
                <c:pt idx="2">
                  <c:v>20-29</c:v>
                </c:pt>
                <c:pt idx="3">
                  <c:v>30-39</c:v>
                </c:pt>
                <c:pt idx="4">
                  <c:v>40-49</c:v>
                </c:pt>
                <c:pt idx="5">
                  <c:v>50-59</c:v>
                </c:pt>
                <c:pt idx="6">
                  <c:v>60-69</c:v>
                </c:pt>
                <c:pt idx="7">
                  <c:v>70-79</c:v>
                </c:pt>
              </c:strCache>
            </c:strRef>
          </c:cat>
          <c:val>
            <c:numRef>
              <c:f>'Pivot Report'!$B$58:$B$66</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5-837D-4DFA-B45F-1B0786841C56}"/>
            </c:ext>
          </c:extLst>
        </c:ser>
        <c:dLbls>
          <c:showLegendKey val="0"/>
          <c:showVal val="0"/>
          <c:showCatName val="0"/>
          <c:showSerName val="0"/>
          <c:showPercent val="0"/>
          <c:showBubbleSize val="0"/>
        </c:dLbls>
        <c:gapWidth val="219"/>
        <c:overlap val="-27"/>
        <c:axId val="823626607"/>
        <c:axId val="823641007"/>
      </c:barChart>
      <c:catAx>
        <c:axId val="82362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23641007"/>
        <c:crosses val="autoZero"/>
        <c:auto val="1"/>
        <c:lblAlgn val="ctr"/>
        <c:lblOffset val="100"/>
        <c:noMultiLvlLbl val="0"/>
      </c:catAx>
      <c:valAx>
        <c:axId val="823641007"/>
        <c:scaling>
          <c:orientation val="minMax"/>
        </c:scaling>
        <c:delete val="1"/>
        <c:axPos val="l"/>
        <c:numFmt formatCode="0" sourceLinked="1"/>
        <c:majorTickMark val="none"/>
        <c:minorTickMark val="none"/>
        <c:tickLblPos val="nextTo"/>
        <c:crossAx val="82362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Report!PivotTable10</c:name>
    <c:fmtId val="5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584364977016584"/>
          <c:y val="0.14453455818022748"/>
          <c:w val="0.74053147949515219"/>
          <c:h val="0.74053018372703416"/>
        </c:manualLayout>
      </c:layout>
      <c:pieChart>
        <c:varyColors val="1"/>
        <c:ser>
          <c:idx val="0"/>
          <c:order val="0"/>
          <c:tx>
            <c:strRef>
              <c:f>'Pivot Report'!$B$70</c:f>
              <c:strCache>
                <c:ptCount val="1"/>
                <c:pt idx="0">
                  <c:v>Total</c:v>
                </c:pt>
              </c:strCache>
            </c:strRef>
          </c:tx>
          <c:dPt>
            <c:idx val="0"/>
            <c:bubble3D val="0"/>
            <c:spPr>
              <a:solidFill>
                <a:schemeClr val="accent5">
                  <a:lumMod val="50000"/>
                </a:schemeClr>
              </a:solidFill>
              <a:ln>
                <a:noFill/>
              </a:ln>
              <a:effectLst/>
            </c:spPr>
            <c:extLst>
              <c:ext xmlns:c16="http://schemas.microsoft.com/office/drawing/2014/chart" uri="{C3380CC4-5D6E-409C-BE32-E72D297353CC}">
                <c16:uniqueId val="{00000001-2C0C-464B-9A7E-5820AB9873F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0C-464B-9A7E-5820AB9873FA}"/>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Delay</c:v>
                </c:pt>
                <c:pt idx="1">
                  <c:v>Ontime</c:v>
                </c:pt>
              </c:strCache>
            </c:strRef>
          </c:cat>
          <c:val>
            <c:numRef>
              <c:f>'Pivot Report'!$B$71:$B$73</c:f>
              <c:numCache>
                <c:formatCode>0</c:formatCode>
                <c:ptCount val="2"/>
                <c:pt idx="0">
                  <c:v>324</c:v>
                </c:pt>
                <c:pt idx="1">
                  <c:v>195</c:v>
                </c:pt>
              </c:numCache>
            </c:numRef>
          </c:val>
          <c:extLst>
            <c:ext xmlns:c16="http://schemas.microsoft.com/office/drawing/2014/chart" uri="{C3380CC4-5D6E-409C-BE32-E72D297353CC}">
              <c16:uniqueId val="{00000009-24AA-47FE-B895-49A378AC532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1.1308886389201351E-2"/>
          <c:w val="0.96974185431645554"/>
          <c:h val="0.1500052493438320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Report!PivotTable11</c:name>
    <c:fmtId val="5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50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6822235877000834"/>
                  <c:h val="0.649163109432351"/>
                </c:manualLayout>
              </c15:layout>
            </c:ext>
          </c:extLst>
        </c:dLbl>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121893547465642"/>
          <c:y val="0.16896563193431438"/>
          <c:w val="0.459639921287333"/>
          <c:h val="0.77068949951771626"/>
        </c:manualLayout>
      </c:layout>
      <c:doughnutChart>
        <c:varyColors val="1"/>
        <c:ser>
          <c:idx val="0"/>
          <c:order val="0"/>
          <c:tx>
            <c:strRef>
              <c:f>'Pivot Report'!$B$76</c:f>
              <c:strCache>
                <c:ptCount val="1"/>
                <c:pt idx="0">
                  <c:v>Total</c:v>
                </c:pt>
              </c:strCache>
            </c:strRef>
          </c:tx>
          <c:dPt>
            <c:idx val="0"/>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6D-4D37-89E7-0B5039DA4CF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086E-46ED-9EBB-056DEB51FAE7}"/>
              </c:ext>
            </c:extLst>
          </c:dPt>
          <c:dLbls>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6822235877000834"/>
                      <c:h val="0.649163109432351"/>
                    </c:manualLayout>
                  </c15:layout>
                </c:ext>
                <c:ext xmlns:c16="http://schemas.microsoft.com/office/drawing/2014/chart" uri="{C3380CC4-5D6E-409C-BE32-E72D297353CC}">
                  <c16:uniqueId val="{00000001-6E6D-4D37-89E7-0B5039DA4CF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Report'!$A$77:$A$79</c:f>
              <c:strCache>
                <c:ptCount val="2"/>
                <c:pt idx="0">
                  <c:v>Female</c:v>
                </c:pt>
                <c:pt idx="1">
                  <c:v>Male</c:v>
                </c:pt>
              </c:strCache>
            </c:strRef>
          </c:cat>
          <c:val>
            <c:numRef>
              <c:f>'Pivot Report'!$B$77:$B$79</c:f>
              <c:numCache>
                <c:formatCode>0</c:formatCode>
                <c:ptCount val="2"/>
                <c:pt idx="0">
                  <c:v>254</c:v>
                </c:pt>
                <c:pt idx="1">
                  <c:v>265</c:v>
                </c:pt>
              </c:numCache>
            </c:numRef>
          </c:val>
          <c:extLst>
            <c:ext xmlns:c16="http://schemas.microsoft.com/office/drawing/2014/chart" uri="{C3380CC4-5D6E-409C-BE32-E72D297353CC}">
              <c16:uniqueId val="{00000009-086E-46ED-9EBB-056DEB51FAE7}"/>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8.6467746396492393E-2"/>
          <c:y val="1.3331984197317774E-3"/>
          <c:w val="0.7160415599254587"/>
          <c:h val="0.136797540590239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[dashbord2.xlsx]Pivot Report!PivotTable12</c:name>
    <c:fmtId val="62"/>
  </c:pivotSource>
  <c:chart>
    <c:autoTitleDeleted val="1"/>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07490409852615"/>
          <c:y val="6.5551818749589846E-2"/>
          <c:w val="0.67721905915606695"/>
          <c:h val="0.8408027258938533"/>
        </c:manualLayout>
      </c:layout>
      <c:barChart>
        <c:barDir val="bar"/>
        <c:grouping val="clustered"/>
        <c:varyColors val="0"/>
        <c:ser>
          <c:idx val="0"/>
          <c:order val="0"/>
          <c:tx>
            <c:strRef>
              <c:f>'Pivot Report'!$B$90</c:f>
              <c:strCache>
                <c:ptCount val="1"/>
                <c:pt idx="0">
                  <c:v>Total</c:v>
                </c:pt>
              </c:strCache>
            </c:strRef>
          </c:tx>
          <c:spPr>
            <a:solidFill>
              <a:schemeClr val="accent5">
                <a:lumMod val="50000"/>
              </a:schemeClr>
            </a:solidFill>
            <a:ln>
              <a:noFill/>
            </a:ln>
            <a:effectLst/>
          </c:spPr>
          <c:invertIfNegative val="0"/>
          <c:dPt>
            <c:idx val="7"/>
            <c:invertIfNegative val="0"/>
            <c:bubble3D val="0"/>
            <c:extLst>
              <c:ext xmlns:c16="http://schemas.microsoft.com/office/drawing/2014/chart" uri="{C3380CC4-5D6E-409C-BE32-E72D297353CC}">
                <c16:uniqueId val="{00000000-49DC-4A77-AA82-F5AEA867EF1D}"/>
              </c:ext>
            </c:extLst>
          </c:dPt>
          <c:dLbls>
            <c:dLbl>
              <c:idx val="7"/>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DC-4A77-AA82-F5AEA867EF1D}"/>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Report'!$A$91:$A$99</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Report'!$B$91:$B$99</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7-FD3F-4243-BA9C-959CA265B443}"/>
            </c:ext>
          </c:extLst>
        </c:ser>
        <c:dLbls>
          <c:showLegendKey val="0"/>
          <c:showVal val="0"/>
          <c:showCatName val="0"/>
          <c:showSerName val="0"/>
          <c:showPercent val="0"/>
          <c:showBubbleSize val="0"/>
        </c:dLbls>
        <c:gapWidth val="72"/>
        <c:axId val="897427551"/>
        <c:axId val="897434271"/>
      </c:barChart>
      <c:catAx>
        <c:axId val="89742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97434271"/>
        <c:crosses val="autoZero"/>
        <c:auto val="1"/>
        <c:lblAlgn val="ctr"/>
        <c:lblOffset val="100"/>
        <c:noMultiLvlLbl val="0"/>
      </c:catAx>
      <c:valAx>
        <c:axId val="897434271"/>
        <c:scaling>
          <c:orientation val="minMax"/>
        </c:scaling>
        <c:delete val="1"/>
        <c:axPos val="b"/>
        <c:numFmt formatCode="0" sourceLinked="1"/>
        <c:majorTickMark val="none"/>
        <c:minorTickMark val="none"/>
        <c:tickLblPos val="nextTo"/>
        <c:crossAx val="89742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[dashbord2.xlsx]Pivot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45990084572762E-2"/>
          <c:y val="6.9264069264069264E-2"/>
          <c:w val="0.93275853018372701"/>
          <c:h val="0.7803115519650952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4-9776-4D14-B166-ACF391DAF48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07587872"/>
        <c:axId val="1507588832"/>
      </c:areaChart>
      <c:catAx>
        <c:axId val="1507587872"/>
        <c:scaling>
          <c:orientation val="minMax"/>
        </c:scaling>
        <c:delete val="0"/>
        <c:axPos val="b"/>
        <c:numFmt formatCode="General" sourceLinked="1"/>
        <c:majorTickMark val="none"/>
        <c:minorTickMark val="none"/>
        <c:tickLblPos val="nextTo"/>
        <c:spPr>
          <a:noFill/>
          <a:ln w="9525" cap="flat" cmpd="sng" algn="ctr">
            <a:solidFill>
              <a:schemeClr val="accent3">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7588832"/>
        <c:crosses val="autoZero"/>
        <c:auto val="1"/>
        <c:lblAlgn val="ctr"/>
        <c:lblOffset val="100"/>
        <c:noMultiLvlLbl val="0"/>
      </c:catAx>
      <c:valAx>
        <c:axId val="1507588832"/>
        <c:scaling>
          <c:orientation val="minMax"/>
        </c:scaling>
        <c:delete val="1"/>
        <c:axPos val="l"/>
        <c:numFmt formatCode="General" sourceLinked="1"/>
        <c:majorTickMark val="out"/>
        <c:minorTickMark val="none"/>
        <c:tickLblPos val="nextTo"/>
        <c:crossAx val="1507587872"/>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[dashbord2.xlsx]Pivot Report!PivotTable2</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3963254593177E-2"/>
          <c:y val="6.4556060927166717E-2"/>
          <c:w val="0.87136001749781278"/>
          <c:h val="0.79611135564576163"/>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4-F91B-4105-AEBE-F6C9FC59EC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92759616"/>
        <c:axId val="792766336"/>
      </c:areaChart>
      <c:catAx>
        <c:axId val="792759616"/>
        <c:scaling>
          <c:orientation val="minMax"/>
        </c:scaling>
        <c:delete val="0"/>
        <c:axPos val="b"/>
        <c:numFmt formatCode="General" sourceLinked="1"/>
        <c:majorTickMark val="none"/>
        <c:minorTickMark val="none"/>
        <c:tickLblPos val="nextTo"/>
        <c:spPr>
          <a:noFill/>
          <a:ln w="9525" cap="flat" cmpd="sng" algn="ctr">
            <a:solidFill>
              <a:schemeClr val="accent3">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2766336"/>
        <c:crosses val="autoZero"/>
        <c:auto val="1"/>
        <c:lblAlgn val="ctr"/>
        <c:lblOffset val="100"/>
        <c:noMultiLvlLbl val="0"/>
      </c:catAx>
      <c:valAx>
        <c:axId val="792766336"/>
        <c:scaling>
          <c:orientation val="minMax"/>
        </c:scaling>
        <c:delete val="1"/>
        <c:axPos val="l"/>
        <c:numFmt formatCode="0.00" sourceLinked="1"/>
        <c:majorTickMark val="out"/>
        <c:minorTickMark val="none"/>
        <c:tickLblPos val="nextTo"/>
        <c:crossAx val="792759616"/>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[dashbord2.xlsx]Pivot Report!PivotTable8</c:name>
    <c:fmtId val="5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45679858401354E-2"/>
          <c:y val="5.2083333333333336E-2"/>
          <c:w val="0.93183164493425885"/>
          <c:h val="0.81366661198600176"/>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3"/>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 Report'!$J$5:$J$36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Report'!$K$5:$K$36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4-9120-445F-A992-2BCF84335A5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23595311"/>
        <c:axId val="2123595791"/>
      </c:areaChart>
      <c:catAx>
        <c:axId val="2123595311"/>
        <c:scaling>
          <c:orientation val="minMax"/>
        </c:scaling>
        <c:delete val="0"/>
        <c:axPos val="b"/>
        <c:numFmt formatCode="General" sourceLinked="1"/>
        <c:majorTickMark val="none"/>
        <c:minorTickMark val="none"/>
        <c:tickLblPos val="nextTo"/>
        <c:spPr>
          <a:noFill/>
          <a:ln w="9525" cap="flat" cmpd="sng" algn="ctr">
            <a:solidFill>
              <a:schemeClr val="accent3">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3595791"/>
        <c:crosses val="autoZero"/>
        <c:auto val="1"/>
        <c:lblAlgn val="ctr"/>
        <c:lblOffset val="100"/>
        <c:noMultiLvlLbl val="0"/>
      </c:catAx>
      <c:valAx>
        <c:axId val="2123595791"/>
        <c:scaling>
          <c:orientation val="minMax"/>
        </c:scaling>
        <c:delete val="1"/>
        <c:axPos val="l"/>
        <c:numFmt formatCode="0.00" sourceLinked="1"/>
        <c:majorTickMark val="out"/>
        <c:minorTickMark val="none"/>
        <c:tickLblPos val="nextTo"/>
        <c:crossAx val="2123595311"/>
        <c:crosses val="autoZero"/>
        <c:crossBetween val="midCat"/>
      </c:valAx>
      <c:spPr>
        <a:solidFill>
          <a:schemeClr val="accent1">
            <a:lumMod val="5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hyperlink" Target="#'daily er no. of patients'!A1"/><Relationship Id="rId12" Type="http://schemas.openxmlformats.org/officeDocument/2006/relationships/image" Target="../media/image6.emf"/><Relationship Id="rId2" Type="http://schemas.openxmlformats.org/officeDocument/2006/relationships/image" Target="../media/image1.png"/><Relationship Id="rId16" Type="http://schemas.openxmlformats.org/officeDocument/2006/relationships/chart" Target="../charts/chart8.xml"/><Relationship Id="rId1" Type="http://schemas.openxmlformats.org/officeDocument/2006/relationships/hyperlink" Target="#'average wait time of patients'!A1"/><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hyperlink" Target="#'satisfictation score daily tren'!A1"/><Relationship Id="rId4" Type="http://schemas.openxmlformats.org/officeDocument/2006/relationships/image" Target="../media/image3.svg"/><Relationship Id="rId9" Type="http://schemas.openxmlformats.org/officeDocument/2006/relationships/chart" Target="../charts/chart3.xml"/><Relationship Id="rId1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9.svg"/></Relationships>
</file>

<file path=xl/drawings/_rels/drawing8.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1950720</xdr:colOff>
      <xdr:row>51</xdr:row>
      <xdr:rowOff>152400</xdr:rowOff>
    </xdr:from>
    <xdr:to>
      <xdr:col>7</xdr:col>
      <xdr:colOff>304800</xdr:colOff>
      <xdr:row>54</xdr:row>
      <xdr:rowOff>0</xdr:rowOff>
    </xdr:to>
    <xdr:graphicFrame macro="">
      <xdr:nvGraphicFramePr>
        <xdr:cNvPr id="5" name="Chart 4">
          <a:extLst>
            <a:ext uri="{FF2B5EF4-FFF2-40B4-BE49-F238E27FC236}">
              <a16:creationId xmlns:a16="http://schemas.microsoft.com/office/drawing/2014/main" id="{AA58CA79-18B9-493C-01CA-7D0B24030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34834</xdr:colOff>
      <xdr:row>0</xdr:row>
      <xdr:rowOff>39189</xdr:rowOff>
    </xdr:from>
    <xdr:to>
      <xdr:col>5</xdr:col>
      <xdr:colOff>226423</xdr:colOff>
      <xdr:row>2</xdr:row>
      <xdr:rowOff>148046</xdr:rowOff>
    </xdr:to>
    <xdr:sp macro="" textlink="">
      <xdr:nvSpPr>
        <xdr:cNvPr id="2" name="Rectangle: Rounded Corners 1">
          <a:extLst>
            <a:ext uri="{FF2B5EF4-FFF2-40B4-BE49-F238E27FC236}">
              <a16:creationId xmlns:a16="http://schemas.microsoft.com/office/drawing/2014/main" id="{C125FD49-E337-F557-7D9A-ED0A11B37110}"/>
            </a:ext>
          </a:extLst>
        </xdr:cNvPr>
        <xdr:cNvSpPr/>
      </xdr:nvSpPr>
      <xdr:spPr>
        <a:xfrm>
          <a:off x="34834" y="39189"/>
          <a:ext cx="3239589" cy="47461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261257</xdr:colOff>
      <xdr:row>0</xdr:row>
      <xdr:rowOff>34835</xdr:rowOff>
    </xdr:from>
    <xdr:to>
      <xdr:col>7</xdr:col>
      <xdr:colOff>34834</xdr:colOff>
      <xdr:row>2</xdr:row>
      <xdr:rowOff>143692</xdr:rowOff>
    </xdr:to>
    <xdr:sp macro="" textlink="">
      <xdr:nvSpPr>
        <xdr:cNvPr id="3" name="Rectangle: Rounded Corners 2">
          <a:extLst>
            <a:ext uri="{FF2B5EF4-FFF2-40B4-BE49-F238E27FC236}">
              <a16:creationId xmlns:a16="http://schemas.microsoft.com/office/drawing/2014/main" id="{45C1A1C4-C20B-1029-CB32-A93B7B81CC4A}"/>
            </a:ext>
          </a:extLst>
        </xdr:cNvPr>
        <xdr:cNvSpPr/>
      </xdr:nvSpPr>
      <xdr:spPr>
        <a:xfrm>
          <a:off x="3300186" y="34835"/>
          <a:ext cx="989148" cy="471714"/>
        </a:xfrm>
        <a:prstGeom prst="roundRect">
          <a:avLst>
            <a:gd name="adj" fmla="val 1089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7</xdr:col>
      <xdr:colOff>78377</xdr:colOff>
      <xdr:row>0</xdr:row>
      <xdr:rowOff>34834</xdr:rowOff>
    </xdr:from>
    <xdr:to>
      <xdr:col>9</xdr:col>
      <xdr:colOff>63500</xdr:colOff>
      <xdr:row>6</xdr:row>
      <xdr:rowOff>117565</xdr:rowOff>
    </xdr:to>
    <xdr:sp macro="" textlink="">
      <xdr:nvSpPr>
        <xdr:cNvPr id="4" name="Rectangle: Rounded Corners 3">
          <a:extLst>
            <a:ext uri="{FF2B5EF4-FFF2-40B4-BE49-F238E27FC236}">
              <a16:creationId xmlns:a16="http://schemas.microsoft.com/office/drawing/2014/main" id="{CCB24817-7EE4-3BE0-1DD8-B1FBC314FB91}"/>
            </a:ext>
          </a:extLst>
        </xdr:cNvPr>
        <xdr:cNvSpPr/>
      </xdr:nvSpPr>
      <xdr:spPr>
        <a:xfrm>
          <a:off x="4332877" y="34834"/>
          <a:ext cx="1200694" cy="1171302"/>
        </a:xfrm>
        <a:prstGeom prst="roundRect">
          <a:avLst>
            <a:gd name="adj" fmla="val 47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9</xdr:col>
      <xdr:colOff>108858</xdr:colOff>
      <xdr:row>0</xdr:row>
      <xdr:rowOff>39552</xdr:rowOff>
    </xdr:from>
    <xdr:to>
      <xdr:col>11</xdr:col>
      <xdr:colOff>195399</xdr:colOff>
      <xdr:row>6</xdr:row>
      <xdr:rowOff>122283</xdr:rowOff>
    </xdr:to>
    <xdr:sp macro="" textlink="">
      <xdr:nvSpPr>
        <xdr:cNvPr id="5" name="Rectangle: Rounded Corners 4">
          <a:extLst>
            <a:ext uri="{FF2B5EF4-FFF2-40B4-BE49-F238E27FC236}">
              <a16:creationId xmlns:a16="http://schemas.microsoft.com/office/drawing/2014/main" id="{B1B8A981-1FF7-75EA-FEF6-853DE7CACCA9}"/>
            </a:ext>
          </a:extLst>
        </xdr:cNvPr>
        <xdr:cNvSpPr/>
      </xdr:nvSpPr>
      <xdr:spPr>
        <a:xfrm>
          <a:off x="5578929" y="39552"/>
          <a:ext cx="1302113" cy="1171302"/>
        </a:xfrm>
        <a:prstGeom prst="roundRect">
          <a:avLst>
            <a:gd name="adj" fmla="val 4727"/>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43361</xdr:colOff>
      <xdr:row>2</xdr:row>
      <xdr:rowOff>172358</xdr:rowOff>
    </xdr:from>
    <xdr:to>
      <xdr:col>1</xdr:col>
      <xdr:colOff>143510</xdr:colOff>
      <xdr:row>15</xdr:row>
      <xdr:rowOff>82368</xdr:rowOff>
    </xdr:to>
    <xdr:sp macro="" textlink="">
      <xdr:nvSpPr>
        <xdr:cNvPr id="6" name="Rectangle: Rounded Corners 5">
          <a:extLst>
            <a:ext uri="{FF2B5EF4-FFF2-40B4-BE49-F238E27FC236}">
              <a16:creationId xmlns:a16="http://schemas.microsoft.com/office/drawing/2014/main" id="{0C2B1E5F-242D-915A-FF60-38E73B82E460}"/>
            </a:ext>
          </a:extLst>
        </xdr:cNvPr>
        <xdr:cNvSpPr/>
      </xdr:nvSpPr>
      <xdr:spPr>
        <a:xfrm>
          <a:off x="43361" y="535215"/>
          <a:ext cx="707935" cy="2268582"/>
        </a:xfrm>
        <a:prstGeom prst="roundRect">
          <a:avLst>
            <a:gd name="adj" fmla="val 488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185661</xdr:colOff>
      <xdr:row>3</xdr:row>
      <xdr:rowOff>13608</xdr:rowOff>
    </xdr:from>
    <xdr:to>
      <xdr:col>3</xdr:col>
      <xdr:colOff>31749</xdr:colOff>
      <xdr:row>7</xdr:row>
      <xdr:rowOff>129064</xdr:rowOff>
    </xdr:to>
    <xdr:sp macro="" textlink="">
      <xdr:nvSpPr>
        <xdr:cNvPr id="7" name="Rectangle: Rounded Corners 6">
          <a:extLst>
            <a:ext uri="{FF2B5EF4-FFF2-40B4-BE49-F238E27FC236}">
              <a16:creationId xmlns:a16="http://schemas.microsoft.com/office/drawing/2014/main" id="{8D60248A-4F9E-0ACC-5F4D-D1115C3A4F43}"/>
            </a:ext>
          </a:extLst>
        </xdr:cNvPr>
        <xdr:cNvSpPr/>
      </xdr:nvSpPr>
      <xdr:spPr>
        <a:xfrm>
          <a:off x="793447" y="557894"/>
          <a:ext cx="1061659" cy="841170"/>
        </a:xfrm>
        <a:prstGeom prst="roundRect">
          <a:avLst>
            <a:gd name="adj" fmla="val 605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80600</xdr:colOff>
      <xdr:row>3</xdr:row>
      <xdr:rowOff>23521</xdr:rowOff>
    </xdr:from>
    <xdr:to>
      <xdr:col>5</xdr:col>
      <xdr:colOff>18144</xdr:colOff>
      <xdr:row>7</xdr:row>
      <xdr:rowOff>121740</xdr:rowOff>
    </xdr:to>
    <xdr:sp macro="" textlink="">
      <xdr:nvSpPr>
        <xdr:cNvPr id="8" name="Rectangle: Rounded Corners 7">
          <a:extLst>
            <a:ext uri="{FF2B5EF4-FFF2-40B4-BE49-F238E27FC236}">
              <a16:creationId xmlns:a16="http://schemas.microsoft.com/office/drawing/2014/main" id="{6927B49C-E3A6-2364-D313-A7FAC05AEE36}"/>
            </a:ext>
          </a:extLst>
        </xdr:cNvPr>
        <xdr:cNvSpPr/>
      </xdr:nvSpPr>
      <xdr:spPr>
        <a:xfrm>
          <a:off x="1903957" y="567807"/>
          <a:ext cx="1153116" cy="823933"/>
        </a:xfrm>
        <a:prstGeom prst="roundRect">
          <a:avLst>
            <a:gd name="adj" fmla="val 605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65314</xdr:colOff>
      <xdr:row>3</xdr:row>
      <xdr:rowOff>27091</xdr:rowOff>
    </xdr:from>
    <xdr:to>
      <xdr:col>7</xdr:col>
      <xdr:colOff>40821</xdr:colOff>
      <xdr:row>7</xdr:row>
      <xdr:rowOff>122465</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E7F616E8-0DC7-F32C-164C-B0830ADBF8C4}"/>
            </a:ext>
          </a:extLst>
        </xdr:cNvPr>
        <xdr:cNvSpPr/>
      </xdr:nvSpPr>
      <xdr:spPr>
        <a:xfrm>
          <a:off x="3104243" y="571377"/>
          <a:ext cx="1191078" cy="821088"/>
        </a:xfrm>
        <a:prstGeom prst="roundRect">
          <a:avLst>
            <a:gd name="adj" fmla="val 605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185661</xdr:colOff>
      <xdr:row>10</xdr:row>
      <xdr:rowOff>22677</xdr:rowOff>
    </xdr:from>
    <xdr:to>
      <xdr:col>7</xdr:col>
      <xdr:colOff>45357</xdr:colOff>
      <xdr:row>15</xdr:row>
      <xdr:rowOff>97313</xdr:rowOff>
    </xdr:to>
    <xdr:sp macro="" textlink="">
      <xdr:nvSpPr>
        <xdr:cNvPr id="13" name="Rectangle: Rounded Corners 12">
          <a:extLst>
            <a:ext uri="{FF2B5EF4-FFF2-40B4-BE49-F238E27FC236}">
              <a16:creationId xmlns:a16="http://schemas.microsoft.com/office/drawing/2014/main" id="{8DD63751-C943-CD5E-05B6-5888BDE40C4E}"/>
            </a:ext>
          </a:extLst>
        </xdr:cNvPr>
        <xdr:cNvSpPr/>
      </xdr:nvSpPr>
      <xdr:spPr>
        <a:xfrm>
          <a:off x="793447" y="1836963"/>
          <a:ext cx="3506410" cy="981779"/>
        </a:xfrm>
        <a:prstGeom prst="roundRect">
          <a:avLst>
            <a:gd name="adj" fmla="val 605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18143</xdr:colOff>
      <xdr:row>15</xdr:row>
      <xdr:rowOff>86178</xdr:rowOff>
    </xdr:from>
    <xdr:to>
      <xdr:col>9</xdr:col>
      <xdr:colOff>158750</xdr:colOff>
      <xdr:row>15</xdr:row>
      <xdr:rowOff>104321</xdr:rowOff>
    </xdr:to>
    <xdr:cxnSp macro="">
      <xdr:nvCxnSpPr>
        <xdr:cNvPr id="16" name="Straight Connector 15">
          <a:extLst>
            <a:ext uri="{FF2B5EF4-FFF2-40B4-BE49-F238E27FC236}">
              <a16:creationId xmlns:a16="http://schemas.microsoft.com/office/drawing/2014/main" id="{195E7367-E2E8-E256-BD4B-28260F59C572}"/>
            </a:ext>
          </a:extLst>
        </xdr:cNvPr>
        <xdr:cNvCxnSpPr/>
      </xdr:nvCxnSpPr>
      <xdr:spPr>
        <a:xfrm>
          <a:off x="18143" y="2807607"/>
          <a:ext cx="5610678" cy="181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0</xdr:row>
      <xdr:rowOff>40822</xdr:rowOff>
    </xdr:from>
    <xdr:to>
      <xdr:col>11</xdr:col>
      <xdr:colOff>240393</xdr:colOff>
      <xdr:row>15</xdr:row>
      <xdr:rowOff>122464</xdr:rowOff>
    </xdr:to>
    <xdr:cxnSp macro="">
      <xdr:nvCxnSpPr>
        <xdr:cNvPr id="18" name="Straight Connector 17">
          <a:extLst>
            <a:ext uri="{FF2B5EF4-FFF2-40B4-BE49-F238E27FC236}">
              <a16:creationId xmlns:a16="http://schemas.microsoft.com/office/drawing/2014/main" id="{C3E0932F-6522-6572-78CF-42C113D28318}"/>
            </a:ext>
          </a:extLst>
        </xdr:cNvPr>
        <xdr:cNvCxnSpPr/>
      </xdr:nvCxnSpPr>
      <xdr:spPr>
        <a:xfrm>
          <a:off x="6903358" y="40822"/>
          <a:ext cx="22678" cy="28030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108856</xdr:colOff>
      <xdr:row>6</xdr:row>
      <xdr:rowOff>180159</xdr:rowOff>
    </xdr:from>
    <xdr:to>
      <xdr:col>11</xdr:col>
      <xdr:colOff>236219</xdr:colOff>
      <xdr:row>15</xdr:row>
      <xdr:rowOff>99784</xdr:rowOff>
    </xdr:to>
    <xdr:sp macro="" textlink="">
      <xdr:nvSpPr>
        <xdr:cNvPr id="19" name="Rectangle: Rounded Corners 18">
          <a:extLst>
            <a:ext uri="{FF2B5EF4-FFF2-40B4-BE49-F238E27FC236}">
              <a16:creationId xmlns:a16="http://schemas.microsoft.com/office/drawing/2014/main" id="{925B4482-9AC8-25A7-B672-6AEF5BDBBF4E}"/>
            </a:ext>
          </a:extLst>
        </xdr:cNvPr>
        <xdr:cNvSpPr/>
      </xdr:nvSpPr>
      <xdr:spPr>
        <a:xfrm>
          <a:off x="4363356" y="1268730"/>
          <a:ext cx="2558506" cy="1552483"/>
        </a:xfrm>
        <a:prstGeom prst="roundRect">
          <a:avLst>
            <a:gd name="adj" fmla="val 472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598714</xdr:colOff>
      <xdr:row>0</xdr:row>
      <xdr:rowOff>72572</xdr:rowOff>
    </xdr:from>
    <xdr:to>
      <xdr:col>4</xdr:col>
      <xdr:colOff>607785</xdr:colOff>
      <xdr:row>1</xdr:row>
      <xdr:rowOff>145143</xdr:rowOff>
    </xdr:to>
    <xdr:sp macro="" textlink="">
      <xdr:nvSpPr>
        <xdr:cNvPr id="20" name="TextBox 19">
          <a:extLst>
            <a:ext uri="{FF2B5EF4-FFF2-40B4-BE49-F238E27FC236}">
              <a16:creationId xmlns:a16="http://schemas.microsoft.com/office/drawing/2014/main" id="{AB6932ED-76CB-242F-AE3A-D39BBD7E19A9}"/>
            </a:ext>
          </a:extLst>
        </xdr:cNvPr>
        <xdr:cNvSpPr txBox="1"/>
      </xdr:nvSpPr>
      <xdr:spPr>
        <a:xfrm>
          <a:off x="598714" y="72572"/>
          <a:ext cx="2440214"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Hospital</a:t>
          </a:r>
          <a:r>
            <a:rPr lang="en-IN" sz="1200" baseline="0"/>
            <a:t> </a:t>
          </a:r>
          <a:r>
            <a:rPr lang="en-IN" sz="1200" b="1" baseline="0"/>
            <a:t>Emergency</a:t>
          </a:r>
          <a:r>
            <a:rPr lang="en-IN" sz="1200" baseline="0"/>
            <a:t> </a:t>
          </a:r>
          <a:r>
            <a:rPr lang="en-IN" sz="1200" b="1" i="0" baseline="0"/>
            <a:t>Room</a:t>
          </a:r>
          <a:r>
            <a:rPr lang="en-IN" sz="1200" baseline="0"/>
            <a:t> </a:t>
          </a:r>
          <a:r>
            <a:rPr lang="en-IN" sz="1200" b="1" baseline="0"/>
            <a:t>Dashboard</a:t>
          </a:r>
          <a:endParaRPr lang="en-IN" sz="1200" b="1"/>
        </a:p>
      </xdr:txBody>
    </xdr:sp>
    <xdr:clientData/>
  </xdr:twoCellAnchor>
  <xdr:twoCellAnchor editAs="oneCell">
    <xdr:from>
      <xdr:col>0</xdr:col>
      <xdr:colOff>0</xdr:colOff>
      <xdr:row>0</xdr:row>
      <xdr:rowOff>0</xdr:rowOff>
    </xdr:from>
    <xdr:to>
      <xdr:col>1</xdr:col>
      <xdr:colOff>77107</xdr:colOff>
      <xdr:row>3</xdr:row>
      <xdr:rowOff>63500</xdr:rowOff>
    </xdr:to>
    <xdr:pic>
      <xdr:nvPicPr>
        <xdr:cNvPr id="22" name="Picture 21">
          <a:extLst>
            <a:ext uri="{FF2B5EF4-FFF2-40B4-BE49-F238E27FC236}">
              <a16:creationId xmlns:a16="http://schemas.microsoft.com/office/drawing/2014/main" id="{94910B66-511D-D17E-9B1C-43133E147ED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284" t="-5435" r="16050" b="-5435"/>
        <a:stretch>
          <a:fillRect/>
        </a:stretch>
      </xdr:blipFill>
      <xdr:spPr>
        <a:xfrm>
          <a:off x="0" y="0"/>
          <a:ext cx="684893" cy="607786"/>
        </a:xfrm>
        <a:prstGeom prst="rect">
          <a:avLst/>
        </a:prstGeom>
      </xdr:spPr>
    </xdr:pic>
    <xdr:clientData/>
  </xdr:twoCellAnchor>
  <xdr:twoCellAnchor editAs="absolute">
    <xdr:from>
      <xdr:col>2</xdr:col>
      <xdr:colOff>31750</xdr:colOff>
      <xdr:row>1</xdr:row>
      <xdr:rowOff>45356</xdr:rowOff>
    </xdr:from>
    <xdr:to>
      <xdr:col>3</xdr:col>
      <xdr:colOff>421822</xdr:colOff>
      <xdr:row>2</xdr:row>
      <xdr:rowOff>49893</xdr:rowOff>
    </xdr:to>
    <xdr:sp macro="" textlink="">
      <xdr:nvSpPr>
        <xdr:cNvPr id="23" name="TextBox 22">
          <a:extLst>
            <a:ext uri="{FF2B5EF4-FFF2-40B4-BE49-F238E27FC236}">
              <a16:creationId xmlns:a16="http://schemas.microsoft.com/office/drawing/2014/main" id="{F4B56802-EB3E-6329-6EA7-32468914A609}"/>
            </a:ext>
          </a:extLst>
        </xdr:cNvPr>
        <xdr:cNvSpPr txBox="1"/>
      </xdr:nvSpPr>
      <xdr:spPr>
        <a:xfrm>
          <a:off x="1247321" y="226785"/>
          <a:ext cx="997858" cy="18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aseline="0"/>
            <a:t> </a:t>
          </a:r>
          <a:r>
            <a:rPr lang="en-IN" sz="1050" b="1" baseline="0"/>
            <a:t>Monthly Report</a:t>
          </a:r>
          <a:endParaRPr lang="en-IN" sz="1050" b="1"/>
        </a:p>
      </xdr:txBody>
    </xdr:sp>
    <xdr:clientData/>
  </xdr:twoCellAnchor>
  <xdr:twoCellAnchor editAs="absolute">
    <xdr:from>
      <xdr:col>1</xdr:col>
      <xdr:colOff>179612</xdr:colOff>
      <xdr:row>4</xdr:row>
      <xdr:rowOff>129722</xdr:rowOff>
    </xdr:from>
    <xdr:to>
      <xdr:col>3</xdr:col>
      <xdr:colOff>31750</xdr:colOff>
      <xdr:row>5</xdr:row>
      <xdr:rowOff>134258</xdr:rowOff>
    </xdr:to>
    <xdr:sp macro="" textlink="">
      <xdr:nvSpPr>
        <xdr:cNvPr id="24" name="TextBox 23">
          <a:extLst>
            <a:ext uri="{FF2B5EF4-FFF2-40B4-BE49-F238E27FC236}">
              <a16:creationId xmlns:a16="http://schemas.microsoft.com/office/drawing/2014/main" id="{B2A39566-8656-D4F2-7693-91009F1F870E}"/>
            </a:ext>
          </a:extLst>
        </xdr:cNvPr>
        <xdr:cNvSpPr txBox="1"/>
      </xdr:nvSpPr>
      <xdr:spPr>
        <a:xfrm>
          <a:off x="787398" y="855436"/>
          <a:ext cx="1067709" cy="18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No.</a:t>
          </a:r>
          <a:r>
            <a:rPr lang="en-IN" sz="900" baseline="0"/>
            <a:t> of patient</a:t>
          </a:r>
          <a:endParaRPr lang="en-IN" sz="900"/>
        </a:p>
      </xdr:txBody>
    </xdr:sp>
    <xdr:clientData/>
  </xdr:twoCellAnchor>
  <xdr:twoCellAnchor editAs="absolute">
    <xdr:from>
      <xdr:col>1</xdr:col>
      <xdr:colOff>155117</xdr:colOff>
      <xdr:row>3</xdr:row>
      <xdr:rowOff>150587</xdr:rowOff>
    </xdr:from>
    <xdr:to>
      <xdr:col>3</xdr:col>
      <xdr:colOff>7255</xdr:colOff>
      <xdr:row>4</xdr:row>
      <xdr:rowOff>131537</xdr:rowOff>
    </xdr:to>
    <xdr:sp macro="" textlink="'Pivot Report'!A5">
      <xdr:nvSpPr>
        <xdr:cNvPr id="25" name="TextBox 24">
          <a:extLst>
            <a:ext uri="{FF2B5EF4-FFF2-40B4-BE49-F238E27FC236}">
              <a16:creationId xmlns:a16="http://schemas.microsoft.com/office/drawing/2014/main" id="{4D61EB7F-2769-BBAA-62AC-526BDD53D1BC}"/>
            </a:ext>
          </a:extLst>
        </xdr:cNvPr>
        <xdr:cNvSpPr txBox="1"/>
      </xdr:nvSpPr>
      <xdr:spPr>
        <a:xfrm>
          <a:off x="762903" y="694873"/>
          <a:ext cx="1067709" cy="162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EDE74BE-BF88-4B2F-B1F7-B7CEC4FD9E6A}" type="TxLink">
            <a:rPr lang="en-US" sz="1100" b="0" i="0" u="none" strike="noStrike">
              <a:solidFill>
                <a:srgbClr val="000000"/>
              </a:solidFill>
              <a:latin typeface="Calibri"/>
              <a:ea typeface="Calibri"/>
              <a:cs typeface="Calibri"/>
            </a:rPr>
            <a:pPr algn="ctr"/>
            <a:t>519</a:t>
          </a:fld>
          <a:endParaRPr lang="en-IN" sz="1050"/>
        </a:p>
      </xdr:txBody>
    </xdr:sp>
    <xdr:clientData/>
  </xdr:twoCellAnchor>
  <xdr:twoCellAnchor editAs="absolute">
    <xdr:from>
      <xdr:col>3</xdr:col>
      <xdr:colOff>58964</xdr:colOff>
      <xdr:row>4</xdr:row>
      <xdr:rowOff>111579</xdr:rowOff>
    </xdr:from>
    <xdr:to>
      <xdr:col>4</xdr:col>
      <xdr:colOff>589643</xdr:colOff>
      <xdr:row>5</xdr:row>
      <xdr:rowOff>116115</xdr:rowOff>
    </xdr:to>
    <xdr:sp macro="" textlink="">
      <xdr:nvSpPr>
        <xdr:cNvPr id="26" name="TextBox 25">
          <a:extLst>
            <a:ext uri="{FF2B5EF4-FFF2-40B4-BE49-F238E27FC236}">
              <a16:creationId xmlns:a16="http://schemas.microsoft.com/office/drawing/2014/main" id="{F36F032F-BF4B-B161-6F81-4F9679CBAD4B}"/>
            </a:ext>
          </a:extLst>
        </xdr:cNvPr>
        <xdr:cNvSpPr txBox="1"/>
      </xdr:nvSpPr>
      <xdr:spPr>
        <a:xfrm>
          <a:off x="1882321" y="837293"/>
          <a:ext cx="1138465" cy="18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Average</a:t>
          </a:r>
          <a:r>
            <a:rPr lang="en-IN" sz="900" baseline="0"/>
            <a:t> Wait Time</a:t>
          </a:r>
          <a:endParaRPr lang="en-IN" sz="900"/>
        </a:p>
      </xdr:txBody>
    </xdr:sp>
    <xdr:clientData/>
  </xdr:twoCellAnchor>
  <xdr:twoCellAnchor editAs="absolute">
    <xdr:from>
      <xdr:col>3</xdr:col>
      <xdr:colOff>72572</xdr:colOff>
      <xdr:row>3</xdr:row>
      <xdr:rowOff>146052</xdr:rowOff>
    </xdr:from>
    <xdr:to>
      <xdr:col>4</xdr:col>
      <xdr:colOff>603251</xdr:colOff>
      <xdr:row>4</xdr:row>
      <xdr:rowOff>127002</xdr:rowOff>
    </xdr:to>
    <xdr:sp macro="" textlink="'Pivot Report'!A9">
      <xdr:nvSpPr>
        <xdr:cNvPr id="27" name="TextBox 26">
          <a:extLst>
            <a:ext uri="{FF2B5EF4-FFF2-40B4-BE49-F238E27FC236}">
              <a16:creationId xmlns:a16="http://schemas.microsoft.com/office/drawing/2014/main" id="{4CD95A29-D666-D946-4D92-FA8650CB02A5}"/>
            </a:ext>
          </a:extLst>
        </xdr:cNvPr>
        <xdr:cNvSpPr txBox="1"/>
      </xdr:nvSpPr>
      <xdr:spPr>
        <a:xfrm>
          <a:off x="1895929" y="690338"/>
          <a:ext cx="1138465" cy="162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E288D14-691A-48CF-BD2B-1F0842B23871}" type="TxLink">
            <a:rPr lang="en-US" sz="1100" b="0" i="0" u="none" strike="noStrike">
              <a:solidFill>
                <a:srgbClr val="000000"/>
              </a:solidFill>
              <a:latin typeface="Calibri"/>
              <a:ea typeface="Calibri"/>
              <a:cs typeface="Calibri"/>
            </a:rPr>
            <a:pPr algn="ctr"/>
            <a:t>35.81</a:t>
          </a:fld>
          <a:endParaRPr lang="en-IN" sz="1050"/>
        </a:p>
      </xdr:txBody>
    </xdr:sp>
    <xdr:clientData/>
  </xdr:twoCellAnchor>
  <xdr:twoCellAnchor editAs="absolute">
    <xdr:from>
      <xdr:col>5</xdr:col>
      <xdr:colOff>58964</xdr:colOff>
      <xdr:row>4</xdr:row>
      <xdr:rowOff>116114</xdr:rowOff>
    </xdr:from>
    <xdr:to>
      <xdr:col>7</xdr:col>
      <xdr:colOff>40820</xdr:colOff>
      <xdr:row>5</xdr:row>
      <xdr:rowOff>120650</xdr:rowOff>
    </xdr:to>
    <xdr:sp macro="" textlink="">
      <xdr:nvSpPr>
        <xdr:cNvPr id="28" name="TextBox 27">
          <a:extLst>
            <a:ext uri="{FF2B5EF4-FFF2-40B4-BE49-F238E27FC236}">
              <a16:creationId xmlns:a16="http://schemas.microsoft.com/office/drawing/2014/main" id="{51270161-4C87-BC88-9819-9AF28171CA59}"/>
            </a:ext>
          </a:extLst>
        </xdr:cNvPr>
        <xdr:cNvSpPr txBox="1"/>
      </xdr:nvSpPr>
      <xdr:spPr>
        <a:xfrm>
          <a:off x="3097893" y="841828"/>
          <a:ext cx="1197427" cy="18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Patient Satisfaction</a:t>
          </a:r>
          <a:r>
            <a:rPr lang="en-IN" sz="900" baseline="0"/>
            <a:t> Score</a:t>
          </a:r>
          <a:endParaRPr lang="en-IN" sz="900"/>
        </a:p>
      </xdr:txBody>
    </xdr:sp>
    <xdr:clientData/>
  </xdr:twoCellAnchor>
  <xdr:twoCellAnchor editAs="absolute">
    <xdr:from>
      <xdr:col>5</xdr:col>
      <xdr:colOff>54429</xdr:colOff>
      <xdr:row>3</xdr:row>
      <xdr:rowOff>127909</xdr:rowOff>
    </xdr:from>
    <xdr:to>
      <xdr:col>7</xdr:col>
      <xdr:colOff>27214</xdr:colOff>
      <xdr:row>4</xdr:row>
      <xdr:rowOff>108859</xdr:rowOff>
    </xdr:to>
    <xdr:sp macro="" textlink="'Pivot Report'!A12">
      <xdr:nvSpPr>
        <xdr:cNvPr id="29" name="TextBox 28">
          <a:extLst>
            <a:ext uri="{FF2B5EF4-FFF2-40B4-BE49-F238E27FC236}">
              <a16:creationId xmlns:a16="http://schemas.microsoft.com/office/drawing/2014/main" id="{94991431-C902-9DA6-A91B-695D8071149C}"/>
            </a:ext>
          </a:extLst>
        </xdr:cNvPr>
        <xdr:cNvSpPr txBox="1"/>
      </xdr:nvSpPr>
      <xdr:spPr>
        <a:xfrm>
          <a:off x="3093358" y="672195"/>
          <a:ext cx="1188356" cy="162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C2A3BBB-97F1-4EDF-9BE6-68FFB4BE24A2}" type="TxLink">
            <a:rPr lang="en-US" sz="1100" b="0" i="0" u="none" strike="noStrike">
              <a:solidFill>
                <a:srgbClr val="000000"/>
              </a:solidFill>
              <a:latin typeface="Calibri"/>
              <a:ea typeface="Calibri"/>
              <a:cs typeface="Calibri"/>
            </a:rPr>
            <a:pPr algn="ctr"/>
            <a:t>5.15</a:t>
          </a:fld>
          <a:endParaRPr lang="en-IN" sz="1050"/>
        </a:p>
      </xdr:txBody>
    </xdr:sp>
    <xdr:clientData/>
  </xdr:twoCellAnchor>
  <xdr:twoCellAnchor editAs="oneCell">
    <xdr:from>
      <xdr:col>6</xdr:col>
      <xdr:colOff>358322</xdr:colOff>
      <xdr:row>3</xdr:row>
      <xdr:rowOff>40822</xdr:rowOff>
    </xdr:from>
    <xdr:to>
      <xdr:col>7</xdr:col>
      <xdr:colOff>31750</xdr:colOff>
      <xdr:row>4</xdr:row>
      <xdr:rowOff>81644</xdr:rowOff>
    </xdr:to>
    <xdr:pic>
      <xdr:nvPicPr>
        <xdr:cNvPr id="31" name="Graphic 30" descr="Customer review with solid fill">
          <a:extLst>
            <a:ext uri="{FF2B5EF4-FFF2-40B4-BE49-F238E27FC236}">
              <a16:creationId xmlns:a16="http://schemas.microsoft.com/office/drawing/2014/main" id="{97B31525-1DB7-3542-22AA-5CAF4753630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4005036" y="585108"/>
          <a:ext cx="281214" cy="222250"/>
        </a:xfrm>
        <a:prstGeom prst="rect">
          <a:avLst/>
        </a:prstGeom>
      </xdr:spPr>
    </xdr:pic>
    <xdr:clientData/>
  </xdr:twoCellAnchor>
  <xdr:twoCellAnchor>
    <xdr:from>
      <xdr:col>4</xdr:col>
      <xdr:colOff>430893</xdr:colOff>
      <xdr:row>3</xdr:row>
      <xdr:rowOff>54007</xdr:rowOff>
    </xdr:from>
    <xdr:to>
      <xdr:col>4</xdr:col>
      <xdr:colOff>576035</xdr:colOff>
      <xdr:row>4</xdr:row>
      <xdr:rowOff>63500</xdr:rowOff>
    </xdr:to>
    <xdr:sp macro="" textlink="">
      <xdr:nvSpPr>
        <xdr:cNvPr id="36" name="Graphic 32" descr="Hourglass Finished with solid fill">
          <a:extLst>
            <a:ext uri="{FF2B5EF4-FFF2-40B4-BE49-F238E27FC236}">
              <a16:creationId xmlns:a16="http://schemas.microsoft.com/office/drawing/2014/main" id="{FAE8992D-2AB9-C393-CDDD-31D4B1838B60}"/>
            </a:ext>
          </a:extLst>
        </xdr:cNvPr>
        <xdr:cNvSpPr/>
      </xdr:nvSpPr>
      <xdr:spPr>
        <a:xfrm>
          <a:off x="2862036" y="598293"/>
          <a:ext cx="145142" cy="190921"/>
        </a:xfrm>
        <a:custGeom>
          <a:avLst/>
          <a:gdLst>
            <a:gd name="connsiteX0" fmla="*/ 190090 w 316817"/>
            <a:gd name="connsiteY0" fmla="*/ 256282 h 452595"/>
            <a:gd name="connsiteX1" fmla="*/ 241007 w 316817"/>
            <a:gd name="connsiteY1" fmla="*/ 328132 h 452595"/>
            <a:gd name="connsiteX2" fmla="*/ 75810 w 316817"/>
            <a:gd name="connsiteY2" fmla="*/ 328132 h 452595"/>
            <a:gd name="connsiteX3" fmla="*/ 126727 w 316817"/>
            <a:gd name="connsiteY3" fmla="*/ 256282 h 452595"/>
            <a:gd name="connsiteX4" fmla="*/ 141436 w 316817"/>
            <a:gd name="connsiteY4" fmla="*/ 226298 h 452595"/>
            <a:gd name="connsiteX5" fmla="*/ 126727 w 316817"/>
            <a:gd name="connsiteY5" fmla="*/ 196313 h 452595"/>
            <a:gd name="connsiteX6" fmla="*/ 49220 w 316817"/>
            <a:gd name="connsiteY6" fmla="*/ 33945 h 452595"/>
            <a:gd name="connsiteX7" fmla="*/ 268163 w 316817"/>
            <a:gd name="connsiteY7" fmla="*/ 33945 h 452595"/>
            <a:gd name="connsiteX8" fmla="*/ 190656 w 316817"/>
            <a:gd name="connsiteY8" fmla="*/ 196313 h 452595"/>
            <a:gd name="connsiteX9" fmla="*/ 175381 w 316817"/>
            <a:gd name="connsiteY9" fmla="*/ 226298 h 452595"/>
            <a:gd name="connsiteX10" fmla="*/ 190090 w 316817"/>
            <a:gd name="connsiteY10" fmla="*/ 256282 h 452595"/>
            <a:gd name="connsiteX11" fmla="*/ 301542 w 316817"/>
            <a:gd name="connsiteY11" fmla="*/ 33945 h 452595"/>
            <a:gd name="connsiteX12" fmla="*/ 316817 w 316817"/>
            <a:gd name="connsiteY12" fmla="*/ 33945 h 452595"/>
            <a:gd name="connsiteX13" fmla="*/ 316817 w 316817"/>
            <a:gd name="connsiteY13" fmla="*/ 0 h 452595"/>
            <a:gd name="connsiteX14" fmla="*/ 0 w 316817"/>
            <a:gd name="connsiteY14" fmla="*/ 0 h 452595"/>
            <a:gd name="connsiteX15" fmla="*/ 0 w 316817"/>
            <a:gd name="connsiteY15" fmla="*/ 33945 h 452595"/>
            <a:gd name="connsiteX16" fmla="*/ 14709 w 316817"/>
            <a:gd name="connsiteY16" fmla="*/ 33945 h 452595"/>
            <a:gd name="connsiteX17" fmla="*/ 109755 w 316817"/>
            <a:gd name="connsiteY17" fmla="*/ 226298 h 452595"/>
            <a:gd name="connsiteX18" fmla="*/ 14709 w 316817"/>
            <a:gd name="connsiteY18" fmla="*/ 418651 h 452595"/>
            <a:gd name="connsiteX19" fmla="*/ 0 w 316817"/>
            <a:gd name="connsiteY19" fmla="*/ 418651 h 452595"/>
            <a:gd name="connsiteX20" fmla="*/ 0 w 316817"/>
            <a:gd name="connsiteY20" fmla="*/ 452596 h 452595"/>
            <a:gd name="connsiteX21" fmla="*/ 316817 w 316817"/>
            <a:gd name="connsiteY21" fmla="*/ 452596 h 452595"/>
            <a:gd name="connsiteX22" fmla="*/ 316817 w 316817"/>
            <a:gd name="connsiteY22" fmla="*/ 418651 h 452595"/>
            <a:gd name="connsiteX23" fmla="*/ 301542 w 316817"/>
            <a:gd name="connsiteY23" fmla="*/ 418651 h 452595"/>
            <a:gd name="connsiteX24" fmla="*/ 206497 w 316817"/>
            <a:gd name="connsiteY24" fmla="*/ 226298 h 452595"/>
            <a:gd name="connsiteX25" fmla="*/ 301542 w 316817"/>
            <a:gd name="connsiteY25" fmla="*/ 33945 h 452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316817" h="452595">
              <a:moveTo>
                <a:pt x="190090" y="256282"/>
              </a:moveTo>
              <a:cubicBezTo>
                <a:pt x="209326" y="271558"/>
                <a:pt x="227429" y="298148"/>
                <a:pt x="241007" y="328132"/>
              </a:cubicBezTo>
              <a:lnTo>
                <a:pt x="75810" y="328132"/>
              </a:lnTo>
              <a:cubicBezTo>
                <a:pt x="89953" y="298148"/>
                <a:pt x="107492" y="270992"/>
                <a:pt x="126727" y="256282"/>
              </a:cubicBezTo>
              <a:cubicBezTo>
                <a:pt x="135779" y="248928"/>
                <a:pt x="141436" y="238179"/>
                <a:pt x="141436" y="226298"/>
              </a:cubicBezTo>
              <a:cubicBezTo>
                <a:pt x="141436" y="214417"/>
                <a:pt x="135779" y="203668"/>
                <a:pt x="126727" y="196313"/>
              </a:cubicBezTo>
              <a:cubicBezTo>
                <a:pt x="88256" y="166329"/>
                <a:pt x="54877" y="89388"/>
                <a:pt x="49220" y="33945"/>
              </a:cubicBezTo>
              <a:lnTo>
                <a:pt x="268163" y="33945"/>
              </a:lnTo>
              <a:cubicBezTo>
                <a:pt x="261940" y="89388"/>
                <a:pt x="229127" y="166329"/>
                <a:pt x="190656" y="196313"/>
              </a:cubicBezTo>
              <a:cubicBezTo>
                <a:pt x="181038" y="203668"/>
                <a:pt x="175381" y="214417"/>
                <a:pt x="175381" y="226298"/>
              </a:cubicBezTo>
              <a:cubicBezTo>
                <a:pt x="175381" y="238179"/>
                <a:pt x="181038" y="248928"/>
                <a:pt x="190090" y="256282"/>
              </a:cubicBezTo>
              <a:close/>
              <a:moveTo>
                <a:pt x="301542" y="33945"/>
              </a:moveTo>
              <a:lnTo>
                <a:pt x="316817" y="33945"/>
              </a:lnTo>
              <a:lnTo>
                <a:pt x="316817" y="0"/>
              </a:lnTo>
              <a:lnTo>
                <a:pt x="0" y="0"/>
              </a:lnTo>
              <a:lnTo>
                <a:pt x="0" y="33945"/>
              </a:lnTo>
              <a:lnTo>
                <a:pt x="14709" y="33945"/>
              </a:lnTo>
              <a:cubicBezTo>
                <a:pt x="20933" y="96742"/>
                <a:pt x="57140" y="188393"/>
                <a:pt x="109755" y="226298"/>
              </a:cubicBezTo>
              <a:cubicBezTo>
                <a:pt x="57140" y="264203"/>
                <a:pt x="20367" y="355853"/>
                <a:pt x="14709" y="418651"/>
              </a:cubicBezTo>
              <a:lnTo>
                <a:pt x="0" y="418651"/>
              </a:lnTo>
              <a:lnTo>
                <a:pt x="0" y="452596"/>
              </a:lnTo>
              <a:lnTo>
                <a:pt x="316817" y="452596"/>
              </a:lnTo>
              <a:lnTo>
                <a:pt x="316817" y="418651"/>
              </a:lnTo>
              <a:lnTo>
                <a:pt x="301542" y="418651"/>
              </a:lnTo>
              <a:cubicBezTo>
                <a:pt x="295885" y="355853"/>
                <a:pt x="259111" y="264203"/>
                <a:pt x="206497" y="226298"/>
              </a:cubicBezTo>
              <a:cubicBezTo>
                <a:pt x="259111" y="188393"/>
                <a:pt x="295885" y="96742"/>
                <a:pt x="301542" y="33945"/>
              </a:cubicBezTo>
              <a:close/>
            </a:path>
          </a:pathLst>
        </a:custGeom>
        <a:solidFill>
          <a:srgbClr val="000000"/>
        </a:solidFill>
        <a:ln w="5655" cap="flat">
          <a:noFill/>
          <a:prstDash val="solid"/>
          <a:miter/>
        </a:ln>
      </xdr:spPr>
      <xdr:txBody>
        <a:bodyPr rtlCol="0" anchor="ctr"/>
        <a:lstStyle/>
        <a:p>
          <a:endParaRPr lang="en-IN"/>
        </a:p>
      </xdr:txBody>
    </xdr:sp>
    <xdr:clientData/>
  </xdr:twoCellAnchor>
  <xdr:twoCellAnchor editAs="oneCell">
    <xdr:from>
      <xdr:col>2</xdr:col>
      <xdr:colOff>381000</xdr:colOff>
      <xdr:row>3</xdr:row>
      <xdr:rowOff>13607</xdr:rowOff>
    </xdr:from>
    <xdr:to>
      <xdr:col>3</xdr:col>
      <xdr:colOff>27214</xdr:colOff>
      <xdr:row>4</xdr:row>
      <xdr:rowOff>86179</xdr:rowOff>
    </xdr:to>
    <xdr:pic>
      <xdr:nvPicPr>
        <xdr:cNvPr id="35" name="Graphic 34" descr="Male profile with solid fill">
          <a:extLst>
            <a:ext uri="{FF2B5EF4-FFF2-40B4-BE49-F238E27FC236}">
              <a16:creationId xmlns:a16="http://schemas.microsoft.com/office/drawing/2014/main" id="{ADCC9DCD-C76E-6E09-C3F4-36E7E516CE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1596571" y="557893"/>
          <a:ext cx="254000" cy="254000"/>
        </a:xfrm>
        <a:prstGeom prst="rect">
          <a:avLst/>
        </a:prstGeom>
      </xdr:spPr>
    </xdr:pic>
    <xdr:clientData/>
  </xdr:twoCellAnchor>
  <xdr:twoCellAnchor editAs="oneCell">
    <xdr:from>
      <xdr:col>0</xdr:col>
      <xdr:colOff>65316</xdr:colOff>
      <xdr:row>3</xdr:row>
      <xdr:rowOff>18144</xdr:rowOff>
    </xdr:from>
    <xdr:to>
      <xdr:col>1</xdr:col>
      <xdr:colOff>77108</xdr:colOff>
      <xdr:row>15</xdr:row>
      <xdr:rowOff>45357</xdr:rowOff>
    </xdr:to>
    <mc:AlternateContent xmlns:mc="http://schemas.openxmlformats.org/markup-compatibility/2006" xmlns:a14="http://schemas.microsoft.com/office/drawing/2010/main">
      <mc:Choice Requires="a14">
        <xdr:graphicFrame macro="">
          <xdr:nvGraphicFramePr>
            <xdr:cNvPr id="37" name="Date (Month)">
              <a:extLst>
                <a:ext uri="{FF2B5EF4-FFF2-40B4-BE49-F238E27FC236}">
                  <a16:creationId xmlns:a16="http://schemas.microsoft.com/office/drawing/2014/main" id="{7BAF614E-CA07-48F8-9840-20FEE9C4A19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5316" y="562430"/>
              <a:ext cx="619578" cy="2204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58964</xdr:colOff>
      <xdr:row>5</xdr:row>
      <xdr:rowOff>36287</xdr:rowOff>
    </xdr:from>
    <xdr:to>
      <xdr:col>3</xdr:col>
      <xdr:colOff>154214</xdr:colOff>
      <xdr:row>8</xdr:row>
      <xdr:rowOff>72571</xdr:rowOff>
    </xdr:to>
    <xdr:graphicFrame macro="">
      <xdr:nvGraphicFramePr>
        <xdr:cNvPr id="39" name="Chart 38">
          <a:hlinkClick xmlns:r="http://schemas.openxmlformats.org/officeDocument/2006/relationships" r:id="rId7"/>
          <a:extLst>
            <a:ext uri="{FF2B5EF4-FFF2-40B4-BE49-F238E27FC236}">
              <a16:creationId xmlns:a16="http://schemas.microsoft.com/office/drawing/2014/main" id="{E28FBE1F-324A-4656-A197-13C77257A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95250</xdr:colOff>
      <xdr:row>5</xdr:row>
      <xdr:rowOff>77107</xdr:rowOff>
    </xdr:from>
    <xdr:to>
      <xdr:col>5</xdr:col>
      <xdr:colOff>18142</xdr:colOff>
      <xdr:row>7</xdr:row>
      <xdr:rowOff>113394</xdr:rowOff>
    </xdr:to>
    <xdr:graphicFrame macro="">
      <xdr:nvGraphicFramePr>
        <xdr:cNvPr id="12" name="Chart 11">
          <a:hlinkClick xmlns:r="http://schemas.openxmlformats.org/officeDocument/2006/relationships" r:id="rId1"/>
          <a:extLst>
            <a:ext uri="{FF2B5EF4-FFF2-40B4-BE49-F238E27FC236}">
              <a16:creationId xmlns:a16="http://schemas.microsoft.com/office/drawing/2014/main" id="{C829EE1D-623F-40B7-B7D5-7CA91EC2B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72571</xdr:colOff>
      <xdr:row>5</xdr:row>
      <xdr:rowOff>86178</xdr:rowOff>
    </xdr:from>
    <xdr:to>
      <xdr:col>7</xdr:col>
      <xdr:colOff>22679</xdr:colOff>
      <xdr:row>7</xdr:row>
      <xdr:rowOff>108857</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D20C5A5A-DF98-4F81-A1F0-F59610203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172358</xdr:colOff>
          <xdr:row>7</xdr:row>
          <xdr:rowOff>163286</xdr:rowOff>
        </xdr:from>
        <xdr:to>
          <xdr:col>7</xdr:col>
          <xdr:colOff>18144</xdr:colOff>
          <xdr:row>9</xdr:row>
          <xdr:rowOff>157770</xdr:rowOff>
        </xdr:to>
        <xdr:pic>
          <xdr:nvPicPr>
            <xdr:cNvPr id="30" name="Picture 29">
              <a:extLst>
                <a:ext uri="{FF2B5EF4-FFF2-40B4-BE49-F238E27FC236}">
                  <a16:creationId xmlns:a16="http://schemas.microsoft.com/office/drawing/2014/main" id="{B33B1C4F-A121-A5AB-1912-9FC1995F3AEB}"/>
                </a:ext>
              </a:extLst>
            </xdr:cNvPr>
            <xdr:cNvPicPr>
              <a:picLocks noChangeAspect="1" noChangeArrowheads="1"/>
              <a:extLst>
                <a:ext uri="{84589F7E-364E-4C9E-8A38-B11213B215E9}">
                  <a14:cameraTool cellRange="'Pivot Report'!$A$52:$D$54" spid="_x0000_s1049"/>
                </a:ext>
              </a:extLst>
            </xdr:cNvPicPr>
          </xdr:nvPicPr>
          <xdr:blipFill>
            <a:blip xmlns:r="http://schemas.openxmlformats.org/officeDocument/2006/relationships" r:embed="rId12"/>
            <a:srcRect/>
            <a:stretch>
              <a:fillRect/>
            </a:stretch>
          </xdr:blipFill>
          <xdr:spPr bwMode="auto">
            <a:xfrm>
              <a:off x="780144" y="1433286"/>
              <a:ext cx="3492500" cy="35734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222248</xdr:colOff>
      <xdr:row>10</xdr:row>
      <xdr:rowOff>31750</xdr:rowOff>
    </xdr:from>
    <xdr:to>
      <xdr:col>6</xdr:col>
      <xdr:colOff>598714</xdr:colOff>
      <xdr:row>15</xdr:row>
      <xdr:rowOff>117928</xdr:rowOff>
    </xdr:to>
    <xdr:graphicFrame macro="">
      <xdr:nvGraphicFramePr>
        <xdr:cNvPr id="11" name="Chart 10">
          <a:extLst>
            <a:ext uri="{FF2B5EF4-FFF2-40B4-BE49-F238E27FC236}">
              <a16:creationId xmlns:a16="http://schemas.microsoft.com/office/drawing/2014/main" id="{F51329BE-56BB-4412-A4F4-EA3EA9E12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xdr:col>
      <xdr:colOff>0</xdr:colOff>
      <xdr:row>17</xdr:row>
      <xdr:rowOff>0</xdr:rowOff>
    </xdr:from>
    <xdr:to>
      <xdr:col>3</xdr:col>
      <xdr:colOff>254000</xdr:colOff>
      <xdr:row>18</xdr:row>
      <xdr:rowOff>4537</xdr:rowOff>
    </xdr:to>
    <xdr:sp macro="" textlink="">
      <xdr:nvSpPr>
        <xdr:cNvPr id="17" name="TextBox 16">
          <a:extLst>
            <a:ext uri="{FF2B5EF4-FFF2-40B4-BE49-F238E27FC236}">
              <a16:creationId xmlns:a16="http://schemas.microsoft.com/office/drawing/2014/main" id="{54220253-E02F-43D6-852F-9631323DD36C}"/>
            </a:ext>
          </a:extLst>
        </xdr:cNvPr>
        <xdr:cNvSpPr txBox="1"/>
      </xdr:nvSpPr>
      <xdr:spPr>
        <a:xfrm>
          <a:off x="607786" y="3084286"/>
          <a:ext cx="1469571" cy="18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a:p>
      </xdr:txBody>
    </xdr:sp>
    <xdr:clientData/>
  </xdr:twoCellAnchor>
  <xdr:twoCellAnchor>
    <xdr:from>
      <xdr:col>7</xdr:col>
      <xdr:colOff>108859</xdr:colOff>
      <xdr:row>0</xdr:row>
      <xdr:rowOff>58964</xdr:rowOff>
    </xdr:from>
    <xdr:to>
      <xdr:col>9</xdr:col>
      <xdr:colOff>36286</xdr:colOff>
      <xdr:row>6</xdr:row>
      <xdr:rowOff>113393</xdr:rowOff>
    </xdr:to>
    <xdr:graphicFrame macro="">
      <xdr:nvGraphicFramePr>
        <xdr:cNvPr id="21" name="Chart 20">
          <a:extLst>
            <a:ext uri="{FF2B5EF4-FFF2-40B4-BE49-F238E27FC236}">
              <a16:creationId xmlns:a16="http://schemas.microsoft.com/office/drawing/2014/main" id="{27B26B84-AC6C-4792-B3D9-666069D7C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562429</xdr:colOff>
      <xdr:row>0</xdr:row>
      <xdr:rowOff>77107</xdr:rowOff>
    </xdr:from>
    <xdr:to>
      <xdr:col>11</xdr:col>
      <xdr:colOff>503464</xdr:colOff>
      <xdr:row>6</xdr:row>
      <xdr:rowOff>40821</xdr:rowOff>
    </xdr:to>
    <xdr:graphicFrame macro="">
      <xdr:nvGraphicFramePr>
        <xdr:cNvPr id="33" name="Chart 32">
          <a:extLst>
            <a:ext uri="{FF2B5EF4-FFF2-40B4-BE49-F238E27FC236}">
              <a16:creationId xmlns:a16="http://schemas.microsoft.com/office/drawing/2014/main" id="{AD81CC22-BD10-49CD-BCC3-9A01DC866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140608</xdr:colOff>
      <xdr:row>5</xdr:row>
      <xdr:rowOff>162016</xdr:rowOff>
    </xdr:from>
    <xdr:to>
      <xdr:col>11</xdr:col>
      <xdr:colOff>68034</xdr:colOff>
      <xdr:row>6</xdr:row>
      <xdr:rowOff>99786</xdr:rowOff>
    </xdr:to>
    <xdr:sp macro="" textlink="">
      <xdr:nvSpPr>
        <xdr:cNvPr id="38" name="TextBox 31">
          <a:extLst>
            <a:ext uri="{FF2B5EF4-FFF2-40B4-BE49-F238E27FC236}">
              <a16:creationId xmlns:a16="http://schemas.microsoft.com/office/drawing/2014/main" id="{4767243C-F55E-4119-9A40-B1A8DA8CB3BB}"/>
            </a:ext>
          </a:extLst>
        </xdr:cNvPr>
        <xdr:cNvSpPr txBox="1"/>
      </xdr:nvSpPr>
      <xdr:spPr>
        <a:xfrm>
          <a:off x="5610679" y="1069159"/>
          <a:ext cx="1142998" cy="119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1"/>
            <a:t>Gender</a:t>
          </a:r>
          <a:r>
            <a:rPr lang="en-IN" sz="800" b="1" baseline="0"/>
            <a:t> wise Analysis</a:t>
          </a:r>
          <a:endParaRPr lang="en-IN" sz="800" b="1"/>
        </a:p>
      </xdr:txBody>
    </xdr:sp>
    <xdr:clientData/>
  </xdr:twoCellAnchor>
  <xdr:twoCellAnchor>
    <xdr:from>
      <xdr:col>7</xdr:col>
      <xdr:colOff>244930</xdr:colOff>
      <xdr:row>14</xdr:row>
      <xdr:rowOff>116659</xdr:rowOff>
    </xdr:from>
    <xdr:to>
      <xdr:col>10</xdr:col>
      <xdr:colOff>562429</xdr:colOff>
      <xdr:row>15</xdr:row>
      <xdr:rowOff>108857</xdr:rowOff>
    </xdr:to>
    <xdr:sp macro="" textlink="">
      <xdr:nvSpPr>
        <xdr:cNvPr id="40" name="TextBox 31">
          <a:extLst>
            <a:ext uri="{FF2B5EF4-FFF2-40B4-BE49-F238E27FC236}">
              <a16:creationId xmlns:a16="http://schemas.microsoft.com/office/drawing/2014/main" id="{09C37436-572E-4086-9D1B-82A8662CE874}"/>
            </a:ext>
          </a:extLst>
        </xdr:cNvPr>
        <xdr:cNvSpPr txBox="1"/>
      </xdr:nvSpPr>
      <xdr:spPr>
        <a:xfrm>
          <a:off x="4499430" y="2656659"/>
          <a:ext cx="2140856" cy="173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1"/>
            <a:t>No.</a:t>
          </a:r>
          <a:r>
            <a:rPr lang="en-IN" sz="800" b="1" baseline="0"/>
            <a:t> of Patient by Department Referral</a:t>
          </a:r>
          <a:endParaRPr lang="en-IN" sz="800" b="1"/>
        </a:p>
      </xdr:txBody>
    </xdr:sp>
    <xdr:clientData/>
  </xdr:twoCellAnchor>
  <xdr:twoCellAnchor editAs="oneCell">
    <xdr:from>
      <xdr:col>5</xdr:col>
      <xdr:colOff>258536</xdr:colOff>
      <xdr:row>0</xdr:row>
      <xdr:rowOff>58965</xdr:rowOff>
    </xdr:from>
    <xdr:to>
      <xdr:col>7</xdr:col>
      <xdr:colOff>34990</xdr:colOff>
      <xdr:row>2</xdr:row>
      <xdr:rowOff>108857</xdr:rowOff>
    </xdr:to>
    <mc:AlternateContent xmlns:mc="http://schemas.openxmlformats.org/markup-compatibility/2006" xmlns:a14="http://schemas.microsoft.com/office/drawing/2010/main">
      <mc:Choice Requires="a14">
        <xdr:graphicFrame macro="">
          <xdr:nvGraphicFramePr>
            <xdr:cNvPr id="41" name="Date (Year)">
              <a:extLst>
                <a:ext uri="{FF2B5EF4-FFF2-40B4-BE49-F238E27FC236}">
                  <a16:creationId xmlns:a16="http://schemas.microsoft.com/office/drawing/2014/main" id="{043D957A-483C-4D25-9F4A-99DCD6CCCE9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98839" y="58965"/>
              <a:ext cx="992575" cy="419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136071</xdr:colOff>
      <xdr:row>7</xdr:row>
      <xdr:rowOff>36286</xdr:rowOff>
    </xdr:from>
    <xdr:to>
      <xdr:col>11</xdr:col>
      <xdr:colOff>181428</xdr:colOff>
      <xdr:row>14</xdr:row>
      <xdr:rowOff>122465</xdr:rowOff>
    </xdr:to>
    <xdr:graphicFrame macro="">
      <xdr:nvGraphicFramePr>
        <xdr:cNvPr id="42" name="Chart 41">
          <a:extLst>
            <a:ext uri="{FF2B5EF4-FFF2-40B4-BE49-F238E27FC236}">
              <a16:creationId xmlns:a16="http://schemas.microsoft.com/office/drawing/2014/main" id="{A971664B-3CF5-4DFE-B53B-D947CB6B6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0.24197</cdr:x>
      <cdr:y>0.83562</cdr:y>
    </cdr:from>
    <cdr:to>
      <cdr:x>0.69588</cdr:x>
      <cdr:y>1</cdr:y>
    </cdr:to>
    <cdr:sp macro="" textlink="">
      <cdr:nvSpPr>
        <cdr:cNvPr id="4" name="TextBox 16">
          <a:extLst xmlns:a="http://schemas.openxmlformats.org/drawingml/2006/main">
            <a:ext uri="{FF2B5EF4-FFF2-40B4-BE49-F238E27FC236}">
              <a16:creationId xmlns:a16="http://schemas.microsoft.com/office/drawing/2014/main" id="{54220253-E02F-43D6-852F-9631323DD36C}"/>
            </a:ext>
          </a:extLst>
        </cdr:cNvPr>
        <cdr:cNvSpPr txBox="1"/>
      </cdr:nvSpPr>
      <cdr:spPr>
        <a:xfrm xmlns:a="http://schemas.openxmlformats.org/drawingml/2006/main">
          <a:off x="826407" y="830035"/>
          <a:ext cx="1550309" cy="16328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No.</a:t>
          </a:r>
          <a:r>
            <a:rPr lang="en-IN" sz="800" baseline="0"/>
            <a:t> of patient by Age Group</a:t>
          </a:r>
          <a:endParaRPr lang="en-IN" sz="8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0.88889</cdr:y>
    </cdr:from>
    <cdr:to>
      <cdr:x>1</cdr:x>
      <cdr:y>1</cdr:y>
    </cdr:to>
    <cdr:sp macro="" textlink="">
      <cdr:nvSpPr>
        <cdr:cNvPr id="2" name="TextBox 31">
          <a:extLst xmlns:a="http://schemas.openxmlformats.org/drawingml/2006/main">
            <a:ext uri="{FF2B5EF4-FFF2-40B4-BE49-F238E27FC236}">
              <a16:creationId xmlns:a16="http://schemas.microsoft.com/office/drawing/2014/main" id="{7AFC696C-7049-4D9A-95F1-32DD6811D2CA}"/>
            </a:ext>
          </a:extLst>
        </cdr:cNvPr>
        <cdr:cNvSpPr txBox="1"/>
      </cdr:nvSpPr>
      <cdr:spPr>
        <a:xfrm xmlns:a="http://schemas.openxmlformats.org/drawingml/2006/main">
          <a:off x="0" y="1016000"/>
          <a:ext cx="1142998" cy="127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1"/>
            <a:t>Patient</a:t>
          </a:r>
          <a:r>
            <a:rPr lang="en-IN" sz="800" b="1" baseline="0"/>
            <a:t> Attend Status</a:t>
          </a:r>
          <a:endParaRPr lang="en-IN" sz="800" b="1"/>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426720</xdr:colOff>
      <xdr:row>1</xdr:row>
      <xdr:rowOff>45720</xdr:rowOff>
    </xdr:from>
    <xdr:to>
      <xdr:col>20</xdr:col>
      <xdr:colOff>396240</xdr:colOff>
      <xdr:row>24</xdr:row>
      <xdr:rowOff>99060</xdr:rowOff>
    </xdr:to>
    <xdr:graphicFrame macro="">
      <xdr:nvGraphicFramePr>
        <xdr:cNvPr id="2" name="Chart 1">
          <a:extLst>
            <a:ext uri="{FF2B5EF4-FFF2-40B4-BE49-F238E27FC236}">
              <a16:creationId xmlns:a16="http://schemas.microsoft.com/office/drawing/2014/main" id="{DC7843BA-6D1F-475B-AC7E-1D4C7C077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8.20125E-8</cdr:x>
      <cdr:y>2.35168E-7</cdr:y>
    </cdr:from>
    <cdr:to>
      <cdr:x>0.04052</cdr:x>
      <cdr:y>0.11618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4DD5225-1AF9-16C9-794E-91CEC0A308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494030" cy="49403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480060</xdr:colOff>
      <xdr:row>1</xdr:row>
      <xdr:rowOff>137160</xdr:rowOff>
    </xdr:from>
    <xdr:to>
      <xdr:col>22</xdr:col>
      <xdr:colOff>182880</xdr:colOff>
      <xdr:row>21</xdr:row>
      <xdr:rowOff>160020</xdr:rowOff>
    </xdr:to>
    <xdr:graphicFrame macro="">
      <xdr:nvGraphicFramePr>
        <xdr:cNvPr id="4" name="Chart 3">
          <a:extLst>
            <a:ext uri="{FF2B5EF4-FFF2-40B4-BE49-F238E27FC236}">
              <a16:creationId xmlns:a16="http://schemas.microsoft.com/office/drawing/2014/main" id="{FCBDE574-A072-48AA-BA00-50FB93394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480060</xdr:colOff>
      <xdr:row>1</xdr:row>
      <xdr:rowOff>137160</xdr:rowOff>
    </xdr:from>
    <xdr:to>
      <xdr:col>1</xdr:col>
      <xdr:colOff>449580</xdr:colOff>
      <xdr:row>4</xdr:row>
      <xdr:rowOff>167640</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3A357C31-976F-D456-B119-B86821A101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0060" y="320040"/>
          <a:ext cx="579120" cy="5791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480060</xdr:colOff>
      <xdr:row>1</xdr:row>
      <xdr:rowOff>137160</xdr:rowOff>
    </xdr:from>
    <xdr:to>
      <xdr:col>1</xdr:col>
      <xdr:colOff>449580</xdr:colOff>
      <xdr:row>4</xdr:row>
      <xdr:rowOff>167640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36DDF8C5-62F8-44B5-90A5-AC65AF1CD8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80060" y="320040"/>
          <a:ext cx="579120" cy="579120"/>
        </a:xfrm>
        <a:prstGeom prst="rect">
          <a:avLst/>
        </a:prstGeom>
      </xdr:spPr>
    </xdr:pic>
    <xdr:clientData/>
  </xdr:twoCellAnchor>
  <xdr:twoCellAnchor>
    <xdr:from>
      <xdr:col>0</xdr:col>
      <xdr:colOff>426720</xdr:colOff>
      <xdr:row>1</xdr:row>
      <xdr:rowOff>15240</xdr:rowOff>
    </xdr:from>
    <xdr:to>
      <xdr:col>21</xdr:col>
      <xdr:colOff>495300</xdr:colOff>
      <xdr:row>21</xdr:row>
      <xdr:rowOff>175260</xdr:rowOff>
    </xdr:to>
    <xdr:graphicFrame macro="">
      <xdr:nvGraphicFramePr>
        <xdr:cNvPr id="2" name="Chart 1">
          <a:extLst>
            <a:ext uri="{FF2B5EF4-FFF2-40B4-BE49-F238E27FC236}">
              <a16:creationId xmlns:a16="http://schemas.microsoft.com/office/drawing/2014/main" id="{752A7C3C-80BD-4589-832B-290891125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cdr:y>
    </cdr:from>
    <cdr:to>
      <cdr:x>0.03908</cdr:x>
      <cdr:y>0.1497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9BFB444-435E-7036-602F-4E528F6620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02920" cy="5715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3263892" createdVersion="5" refreshedVersion="8" minRefreshableVersion="3" recordCount="0" supportSubquery="1" supportAdvancedDrill="1" xr:uid="{F34861F0-63EB-4FD9-BC31-011D91CD961A}">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349537" createdVersion="5" refreshedVersion="8" minRefreshableVersion="3" recordCount="0" supportSubquery="1" supportAdvancedDrill="1" xr:uid="{19CFC78E-A948-4B43-B422-5734E049CB51}">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3726854" createdVersion="5" refreshedVersion="8" minRefreshableVersion="3" recordCount="0" supportSubquery="1" supportAdvancedDrill="1" xr:uid="{52BFA103-2133-465B-A50A-B5A426CD52B4}">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3958332" createdVersion="5" refreshedVersion="8" minRefreshableVersion="3" recordCount="0" supportSubquery="1" supportAdvancedDrill="1" xr:uid="{16B9CBA1-58E7-412C-B102-08467780C787}">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4305555" createdVersion="5" refreshedVersion="8" minRefreshableVersion="3" recordCount="0" supportSubquery="1" supportAdvancedDrill="1" xr:uid="{AD051681-CB0D-47AB-B0A0-D5C3F4803FDA}">
  <cacheSource type="external" connectionId="4"/>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4884263" createdVersion="5" refreshedVersion="8" minRefreshableVersion="3" recordCount="0" supportSubquery="1" supportAdvancedDrill="1" xr:uid="{EF76A51F-41DF-4020-861E-91CE241458D1}">
  <cacheSource type="external" connectionId="4"/>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5462963" createdVersion="5" refreshedVersion="8" minRefreshableVersion="3" recordCount="0" supportSubquery="1" supportAdvancedDrill="1" xr:uid="{BC217A9F-61A1-48DD-993B-60393F0A8918}">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6041664" createdVersion="5" refreshedVersion="8" minRefreshableVersion="3" recordCount="0" supportSubquery="1" supportAdvancedDrill="1" xr:uid="{D1A5581A-5560-4E89-8C91-5C3CDB98CE6B}">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6504633" createdVersion="5" refreshedVersion="8" minRefreshableVersion="3" recordCount="0" supportSubquery="1" supportAdvancedDrill="1" xr:uid="{CB5844AA-58C8-4D07-A9B2-5F53DF1F0E0C}">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6851849" createdVersion="5" refreshedVersion="8" minRefreshableVersion="3" recordCount="0" supportSubquery="1" supportAdvancedDrill="1" xr:uid="{F4903E4A-97AD-4E04-AFB9-5E8A75B2F8EC}">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7430557" createdVersion="5" refreshedVersion="8" minRefreshableVersion="3" recordCount="0" supportSubquery="1" supportAdvancedDrill="1" xr:uid="{552DB76A-411F-447A-A398-2FDEBA5146D6}">
  <cacheSource type="external" connectionId="4"/>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8.69212777778" createdVersion="5" refreshedVersion="8" minRefreshableVersion="3" recordCount="0" supportSubquery="1" supportAdvancedDrill="1" xr:uid="{0099707B-A87F-4040-BC90-82DC7F6DC7ED}">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7.846424189818" createdVersion="3" refreshedVersion="8" minRefreshableVersion="3" recordCount="0" supportSubquery="1" supportAdvancedDrill="1" xr:uid="{5C0F7159-6FCA-4406-8710-AB52B1896F51}">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903908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A0DB7A-4771-46D5-9CEB-B037790628BF}" name="PivotTable12" cacheId="336" applyNumberFormats="0" applyBorderFormats="0" applyFontFormats="0" applyPatternFormats="0" applyAlignmentFormats="0" applyWidthHeightFormats="1" dataCaption="Values" tag="23db52e3-54ed-49e0-97d3-d4f159bdb2b8" updatedVersion="8" minRefreshableVersion="3" subtotalHiddenItems="1" itemPrintTitles="1" createdVersion="5" indent="0" outline="1" outlineData="1" multipleFieldFilters="0" chartFormat="63">
  <location ref="A90:B9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1">
    <format dxfId="99">
      <pivotArea outline="0" collapsedLevelsAreSubtotals="1" fieldPosition="0"/>
    </format>
  </formats>
  <chartFormats count="2">
    <chartFormat chart="62" format="2" series="1">
      <pivotArea type="data" outline="0" fieldPosition="0">
        <references count="1">
          <reference field="4294967294" count="1" selected="0">
            <x v="0"/>
          </reference>
        </references>
      </pivotArea>
    </chartFormat>
    <chartFormat chart="62" format="3">
      <pivotArea type="data" outline="0" fieldPosition="0">
        <references count="2">
          <reference field="4294967294" count="1" selected="0">
            <x v="0"/>
          </reference>
          <reference field="1" count="1" selected="0">
            <x v="4"/>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685E0-DFEF-401F-8213-6573E198F976}" name="PivotTable2" cacheId="315" applyNumberFormats="0" applyBorderFormats="0" applyFontFormats="0" applyPatternFormats="0" applyAlignmentFormats="0" applyWidthHeightFormats="1" dataCaption="Values" tag="88b63d0d-b94a-4d68-bb14-bf25072aa1ba" updatedVersion="8" minRefreshableVersion="3" subtotalHiddenItems="1" itemPrintTitles="1" createdVersion="5" indent="0" outline="1" outlineData="1" multipleFieldFilters="0" chartFormat="44">
  <location ref="G4:H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00">
      <pivotArea outline="0" collapsedLevelsAreSubtotals="1" fieldPosition="0"/>
    </format>
  </formats>
  <chartFormats count="2">
    <chartFormat chart="31" format="5"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D2923C-61FE-4E32-8EE5-225732D04733}" name="PivotTable4" cacheId="312" applyNumberFormats="0" applyBorderFormats="0" applyFontFormats="0" applyPatternFormats="0" applyAlignmentFormats="0" applyWidthHeightFormats="1" dataCaption="Values" tag="23db52e3-54ed-49e0-97d3-d4f159bdb2b8"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1">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73ACDA-28C0-4A7D-9B5B-F8E26E282A5E}" name="PivotTable10" cacheId="327" applyNumberFormats="0" applyBorderFormats="0" applyFontFormats="0" applyPatternFormats="0" applyAlignmentFormats="0" applyWidthHeightFormats="1" dataCaption="Values" tag="23db52e3-54ed-49e0-97d3-d4f159bdb2b8" updatedVersion="8" minRefreshableVersion="3" subtotalHiddenItems="1" itemPrintTitles="1" createdVersion="5" indent="0" outline="1" outlineData="1" multipleFieldFilters="0" chartFormat="53">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02">
      <pivotArea outline="0" collapsedLevelsAreSubtotals="1" fieldPosition="0"/>
    </format>
  </formats>
  <chartFormats count="3">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1" count="1" selected="0">
            <x v="0"/>
          </reference>
        </references>
      </pivotArea>
    </chartFormat>
    <chartFormat chart="5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2AA9E5-5084-473D-A9AD-E05C61FFF926}" name="PivotTable5" cacheId="303" applyNumberFormats="0" applyBorderFormats="0" applyFontFormats="0" applyPatternFormats="0" applyAlignmentFormats="0" applyWidthHeightFormats="1" dataCaption="Values" tag="88b63d0d-b94a-4d68-bb14-bf25072aa1ba" updatedVersion="8" minRefreshableVersion="3" subtotalHiddenItems="1" itemPrintTitles="1" createdVersion="5" indent="0" outline="1" outlineData="1" multipleFieldFilters="0" chartFormat="21">
  <location ref="D4:E36"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7"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175078-D2FF-4D7F-AE62-41BCE954A799}" name="PivotTable11" cacheId="330" applyNumberFormats="0" applyBorderFormats="0" applyFontFormats="0" applyPatternFormats="0" applyAlignmentFormats="0" applyWidthHeightFormats="1" dataCaption="Values" tag="23db52e3-54ed-49e0-97d3-d4f159bdb2b8" updatedVersion="8" minRefreshableVersion="3" subtotalHiddenItems="1" itemPrintTitles="1" createdVersion="5" indent="0" outline="1" outlineData="1" multipleFieldFilters="0" chartFormat="58">
  <location ref="A76: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03">
      <pivotArea outline="0" collapsedLevelsAreSubtotals="1" fieldPosition="0"/>
    </format>
  </formats>
  <chartFormats count="3">
    <chartFormat chart="57" format="4" series="1">
      <pivotArea type="data" outline="0" fieldPosition="0">
        <references count="1">
          <reference field="4294967294" count="1" selected="0">
            <x v="0"/>
          </reference>
        </references>
      </pivotArea>
    </chartFormat>
    <chartFormat chart="57" format="5">
      <pivotArea type="data" outline="0" fieldPosition="0">
        <references count="2">
          <reference field="4294967294" count="1" selected="0">
            <x v="0"/>
          </reference>
          <reference field="1" count="1" selected="0">
            <x v="0"/>
          </reference>
        </references>
      </pivotArea>
    </chartFormat>
    <chartFormat chart="5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FA4E7A-488D-4CEF-A0CF-AE7E9F039112}" name="PivotTable3" cacheId="309" applyNumberFormats="0" applyBorderFormats="0" applyFontFormats="0" applyPatternFormats="0" applyAlignmentFormats="0" applyWidthHeightFormats="1" dataCaption="Values" tag="0f77eac4-e917-439d-852e-4691418d973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4">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8A0B26-CBE0-4461-8077-96E2AC0FBD1F}" name="PivotTable9" cacheId="321" applyNumberFormats="0" applyBorderFormats="0" applyFontFormats="0" applyPatternFormats="0" applyAlignmentFormats="0" applyWidthHeightFormats="1" dataCaption="Values" tag="23db52e3-54ed-49e0-97d3-d4f159bdb2b8" updatedVersion="8" minRefreshableVersion="3" subtotalHiddenItems="1" itemPrintTitles="1" createdVersion="5" indent="0" outline="1" outlineData="1" multipleFieldFilters="0" chartFormat="41">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06">
      <pivotArea outline="0" collapsedLevelsAreSubtotals="1" fieldPosition="0"/>
    </format>
    <format dxfId="105">
      <pivotArea outline="0" fieldPosition="0">
        <references count="1">
          <reference field="4294967294" count="1">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12FB04-114D-48DB-96E0-72426956C38D}" name="PivotTable7" cacheId="333" applyNumberFormats="0" applyBorderFormats="0" applyFontFormats="0" applyPatternFormats="0" applyAlignmentFormats="0" applyWidthHeightFormats="1" dataCaption="Values" tag="23db52e3-54ed-49e0-97d3-d4f159bdb2b8" updatedVersion="8" minRefreshableVersion="3" subtotalHiddenItems="1" itemPrintTitles="1" createdVersion="5" indent="0" outline="1" outlineData="1" multipleFieldFilters="0" chartFormat="63">
  <location ref="A84:A8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07">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E410DB-8CA5-4F00-985A-EC4262BBCDCD}" name="PivotTable1" cacheId="306" applyNumberFormats="0" applyBorderFormats="0" applyFontFormats="0" applyPatternFormats="0" applyAlignmentFormats="0" applyWidthHeightFormats="1" dataCaption="Values" tag="3d7f8887-272b-4281-93a9-6839b3107950"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D9ED3B-6FCB-4D7B-B7FD-AD38583F7E4D}" name="PivotTable8" cacheId="318" applyNumberFormats="0" applyBorderFormats="0" applyFontFormats="0" applyPatternFormats="0" applyAlignmentFormats="0" applyWidthHeightFormats="1" dataCaption="Values" tag="88b63d0d-b94a-4d68-bb14-bf25072aa1ba" updatedVersion="8" minRefreshableVersion="3" subtotalHiddenItems="1" itemPrintTitles="1" createdVersion="5" indent="0" outline="1" outlineData="1" multipleFieldFilters="0" chartFormat="57">
  <location ref="J4:K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
  </dataFields>
  <formats count="1">
    <format dxfId="108">
      <pivotArea outline="0" collapsedLevelsAreSubtotals="1" fieldPosition="0"/>
    </format>
  </formats>
  <chartFormats count="2">
    <chartFormat chart="48" format="2" series="1">
      <pivotArea type="data" outline="0" fieldPosition="0">
        <references count="1">
          <reference field="4294967294" count="1" selected="0">
            <x v="0"/>
          </reference>
        </references>
      </pivotArea>
    </chartFormat>
    <chartFormat chart="52"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C51447-BB80-4B1E-AAB2-CF4B64797E16}" name="PivotTable6" cacheId="324" applyNumberFormats="0" applyBorderFormats="0" applyFontFormats="0" applyPatternFormats="0" applyAlignmentFormats="0" applyWidthHeightFormats="1" dataCaption="Values" tag="23db52e3-54ed-49e0-97d3-d4f159bdb2b8" updatedVersion="8" minRefreshableVersion="3" subtotalHiddenItems="1" itemPrintTitles="1" createdVersion="5" indent="0" outline="1" outlineData="1" multipleFieldFilters="0" chartFormat="47">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4"/>
  </dataFields>
  <formats count="1">
    <format dxfId="109">
      <pivotArea outline="0" collapsedLevelsAreSubtotals="1" fieldPosition="0"/>
    </format>
  </formats>
  <chartFormats count="1">
    <chartFormat chart="4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B441859-E705-4A4E-BFDE-51E6EB10014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7B44ED7-A8FF-446D-99E0-9547F3D8E5B7}" sourceName="[Calendar_table].[Date (Month)]">
  <pivotTables>
    <pivotTable tabId="1" name="PivotTable5"/>
    <pivotTable tabId="1" name="PivotTable1"/>
    <pivotTable tabId="1" name="PivotTable3"/>
    <pivotTable tabId="1" name="PivotTable4"/>
    <pivotTable tabId="1" name="PivotTable2"/>
    <pivotTable tabId="1" name="PivotTable8"/>
    <pivotTable tabId="1" name="PivotTable9"/>
    <pivotTable tabId="1" name="PivotTable6"/>
    <pivotTable tabId="1" name="PivotTable10"/>
    <pivotTable tabId="1" name="PivotTable11"/>
    <pivotTable tabId="1" name="PivotTable7"/>
    <pivotTable tabId="1" name="PivotTable12"/>
  </pivotTables>
  <data>
    <olap pivotCacheId="159039089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018FB7E-8169-40C6-9A73-6AD9976AD176}" sourceName="[Calendar_table].[Date (Year)]">
  <pivotTables>
    <pivotTable tabId="1" name="PivotTable7"/>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59039089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8DB4BF3-F342-4077-AAE6-C9A930D8AE05}" cache="Slicer_Date__Month" caption="Date (Month)" showCaption="0" level="1" style="MY STYLE" rowHeight="144000"/>
  <slicer name="Date (Year)" xr10:uid="{F9D880B0-C994-4BA2-AF36-250DE14E4CE6}" cache="Slicer_Date__Year" caption="Date (Year)" columnCount="2" showCaption="0" level="1" style="MY 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8C60B-0BC4-41C5-AF82-9AA5EAE5DA72}" name="Table_ExternalData_1" displayName="Table_ExternalData_1" ref="A3:M28" tableType="queryTable" totalsRowShown="0">
  <autoFilter ref="A3:M28" xr:uid="{0728C60B-0BC4-41C5-AF82-9AA5EAE5DA72}"/>
  <tableColumns count="13">
    <tableColumn id="1" xr3:uid="{C8AEE33B-DD39-4CB2-8C15-E333E9EC47D6}" uniqueName="1" name="Hospital Emergency Room Data[Patient Id]" queryTableFieldId="1"/>
    <tableColumn id="2" xr3:uid="{1DB9E853-8905-407F-A07F-E4B6D145B2DB}" uniqueName="2" name="Hospital Emergency Room Data[Patient Admission Date]" queryTableFieldId="2" dataDxfId="111"/>
    <tableColumn id="3" xr3:uid="{FF7ADBC9-E50D-4B36-A552-39190EA8B1D5}" uniqueName="3" name="Hospital Emergency Room Data[Patient Admission Time]" queryTableFieldId="3" dataDxfId="110"/>
    <tableColumn id="4" xr3:uid="{AF282D5A-C23B-47C8-B2AD-8016C09D37B8}" uniqueName="4" name="Hospital Emergency Room Data[Merged]" queryTableFieldId="4"/>
    <tableColumn id="5" xr3:uid="{1DC3688F-0BB0-4002-9B07-8E570AC7DC0D}" uniqueName="5" name="Hospital Emergency Room Data[Patient Gender]" queryTableFieldId="5"/>
    <tableColumn id="6" xr3:uid="{9F3E6363-8D41-459F-9B1E-E3F24A11B8A4}" uniqueName="6" name="Hospital Emergency Room Data[Patient Age]" queryTableFieldId="6"/>
    <tableColumn id="7" xr3:uid="{BA659C08-881F-4A8B-83BA-AA83B6F99CBD}" uniqueName="7" name="Hospital Emergency Room Data[Patient Race]" queryTableFieldId="7"/>
    <tableColumn id="8" xr3:uid="{7A415187-87B8-4701-805D-A484259B21D0}" uniqueName="8" name="Hospital Emergency Room Data[Department Referral]" queryTableFieldId="8"/>
    <tableColumn id="9" xr3:uid="{6BBD69BC-9636-4623-80B5-93A703B4F95D}" uniqueName="9" name="Hospital Emergency Room Data[Patient Admission Flag]" queryTableFieldId="9"/>
    <tableColumn id="10" xr3:uid="{DC7C9450-7BB1-4041-976C-70F2100D0F6A}" uniqueName="10" name="Hospital Emergency Room Data[Patient Satisfaction Score]" queryTableFieldId="10"/>
    <tableColumn id="11" xr3:uid="{81F5B7D4-6997-4E5F-AC4C-63375284B640}" uniqueName="11" name="Hospital Emergency Room Data[Patient Waittime]" queryTableFieldId="11"/>
    <tableColumn id="12" xr3:uid="{B10A712E-B88B-49D9-9306-C988F8FD4C60}" uniqueName="12" name="Hospital Emergency Room Data[Age Group]" queryTableFieldId="12"/>
    <tableColumn id="13" xr3:uid="{7DF11DD5-1482-4D01-AB26-9878A54D268B}"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92E93-1AAC-4D73-BB97-003B89E08959}">
  <dimension ref="A1:M28"/>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20" t="s">
        <v>107</v>
      </c>
    </row>
    <row r="3" spans="1:13" x14ac:dyDescent="0.3">
      <c r="A3" t="s">
        <v>37</v>
      </c>
      <c r="B3" t="s">
        <v>38</v>
      </c>
      <c r="C3" t="s">
        <v>39</v>
      </c>
      <c r="D3" t="s">
        <v>40</v>
      </c>
      <c r="E3" t="s">
        <v>41</v>
      </c>
      <c r="F3" t="s">
        <v>42</v>
      </c>
      <c r="G3" t="s">
        <v>43</v>
      </c>
      <c r="H3" t="s">
        <v>44</v>
      </c>
      <c r="I3" t="s">
        <v>45</v>
      </c>
      <c r="J3" t="s">
        <v>46</v>
      </c>
      <c r="K3" t="s">
        <v>47</v>
      </c>
      <c r="L3" t="s">
        <v>48</v>
      </c>
      <c r="M3" t="s">
        <v>49</v>
      </c>
    </row>
    <row r="4" spans="1:13" x14ac:dyDescent="0.3">
      <c r="A4" t="s">
        <v>50</v>
      </c>
      <c r="B4" s="18">
        <v>45083</v>
      </c>
      <c r="C4" s="19">
        <v>4.2361111111111113E-2</v>
      </c>
      <c r="D4" t="s">
        <v>51</v>
      </c>
      <c r="E4" t="s">
        <v>33</v>
      </c>
      <c r="F4">
        <v>61</v>
      </c>
      <c r="G4" t="s">
        <v>52</v>
      </c>
      <c r="H4" t="s">
        <v>36</v>
      </c>
      <c r="I4" t="s">
        <v>13</v>
      </c>
      <c r="K4">
        <v>19</v>
      </c>
      <c r="L4" t="s">
        <v>24</v>
      </c>
      <c r="M4" t="s">
        <v>29</v>
      </c>
    </row>
    <row r="5" spans="1:13" x14ac:dyDescent="0.3">
      <c r="A5" t="s">
        <v>53</v>
      </c>
      <c r="B5" s="18">
        <v>45083</v>
      </c>
      <c r="C5" s="19">
        <v>0.18263888888888888</v>
      </c>
      <c r="D5" t="s">
        <v>54</v>
      </c>
      <c r="E5" t="s">
        <v>32</v>
      </c>
      <c r="F5">
        <v>65</v>
      </c>
      <c r="G5" t="s">
        <v>55</v>
      </c>
      <c r="H5" t="s">
        <v>36</v>
      </c>
      <c r="I5" t="s">
        <v>13</v>
      </c>
      <c r="K5">
        <v>59</v>
      </c>
      <c r="L5" t="s">
        <v>24</v>
      </c>
      <c r="M5" t="s">
        <v>28</v>
      </c>
    </row>
    <row r="6" spans="1:13" x14ac:dyDescent="0.3">
      <c r="A6" t="s">
        <v>56</v>
      </c>
      <c r="B6" s="18">
        <v>45467</v>
      </c>
      <c r="C6" s="19">
        <v>0.52083333333333337</v>
      </c>
      <c r="D6" t="s">
        <v>57</v>
      </c>
      <c r="E6" t="s">
        <v>32</v>
      </c>
      <c r="F6">
        <v>18</v>
      </c>
      <c r="G6" t="s">
        <v>55</v>
      </c>
      <c r="H6" t="s">
        <v>36</v>
      </c>
      <c r="I6" t="s">
        <v>14</v>
      </c>
      <c r="K6">
        <v>32</v>
      </c>
      <c r="L6" t="s">
        <v>19</v>
      </c>
      <c r="M6" t="s">
        <v>28</v>
      </c>
    </row>
    <row r="7" spans="1:13" x14ac:dyDescent="0.3">
      <c r="A7" t="s">
        <v>58</v>
      </c>
      <c r="B7" s="18">
        <v>45453</v>
      </c>
      <c r="C7" s="19">
        <v>0.5625</v>
      </c>
      <c r="D7" t="s">
        <v>59</v>
      </c>
      <c r="E7" t="s">
        <v>32</v>
      </c>
      <c r="F7">
        <v>58</v>
      </c>
      <c r="G7" t="s">
        <v>60</v>
      </c>
      <c r="H7" t="s">
        <v>36</v>
      </c>
      <c r="I7" t="s">
        <v>14</v>
      </c>
      <c r="K7">
        <v>35</v>
      </c>
      <c r="L7" t="s">
        <v>23</v>
      </c>
      <c r="M7" t="s">
        <v>28</v>
      </c>
    </row>
    <row r="8" spans="1:13" x14ac:dyDescent="0.3">
      <c r="A8" t="s">
        <v>61</v>
      </c>
      <c r="B8" s="18">
        <v>45460</v>
      </c>
      <c r="C8" s="19">
        <v>0.74791666666666667</v>
      </c>
      <c r="D8" t="s">
        <v>62</v>
      </c>
      <c r="E8" t="s">
        <v>32</v>
      </c>
      <c r="F8">
        <v>59</v>
      </c>
      <c r="G8" t="s">
        <v>63</v>
      </c>
      <c r="H8" t="s">
        <v>36</v>
      </c>
      <c r="I8" t="s">
        <v>14</v>
      </c>
      <c r="K8">
        <v>42</v>
      </c>
      <c r="L8" t="s">
        <v>23</v>
      </c>
      <c r="M8" t="s">
        <v>28</v>
      </c>
    </row>
    <row r="9" spans="1:13" x14ac:dyDescent="0.3">
      <c r="A9" t="s">
        <v>64</v>
      </c>
      <c r="B9" s="18">
        <v>45089</v>
      </c>
      <c r="C9" s="19">
        <v>0.23055555555555557</v>
      </c>
      <c r="D9" t="s">
        <v>65</v>
      </c>
      <c r="E9" t="s">
        <v>32</v>
      </c>
      <c r="F9">
        <v>18</v>
      </c>
      <c r="G9" t="s">
        <v>66</v>
      </c>
      <c r="H9" t="s">
        <v>36</v>
      </c>
      <c r="I9" t="s">
        <v>14</v>
      </c>
      <c r="K9">
        <v>42</v>
      </c>
      <c r="L9" t="s">
        <v>19</v>
      </c>
      <c r="M9" t="s">
        <v>28</v>
      </c>
    </row>
    <row r="10" spans="1:13" x14ac:dyDescent="0.3">
      <c r="A10" t="s">
        <v>67</v>
      </c>
      <c r="B10" s="18">
        <v>45458</v>
      </c>
      <c r="C10" s="19">
        <v>0.17083333333333334</v>
      </c>
      <c r="D10" t="s">
        <v>68</v>
      </c>
      <c r="E10" t="s">
        <v>33</v>
      </c>
      <c r="F10">
        <v>29</v>
      </c>
      <c r="G10" t="s">
        <v>52</v>
      </c>
      <c r="H10" t="s">
        <v>36</v>
      </c>
      <c r="I10" t="s">
        <v>14</v>
      </c>
      <c r="K10">
        <v>57</v>
      </c>
      <c r="L10" t="s">
        <v>20</v>
      </c>
      <c r="M10" t="s">
        <v>28</v>
      </c>
    </row>
    <row r="11" spans="1:13" x14ac:dyDescent="0.3">
      <c r="A11" t="s">
        <v>69</v>
      </c>
      <c r="B11" s="18">
        <v>45455</v>
      </c>
      <c r="C11" s="19">
        <v>0.6958333333333333</v>
      </c>
      <c r="D11" t="s">
        <v>70</v>
      </c>
      <c r="E11" t="s">
        <v>33</v>
      </c>
      <c r="F11">
        <v>32</v>
      </c>
      <c r="G11" t="s">
        <v>66</v>
      </c>
      <c r="H11" t="s">
        <v>36</v>
      </c>
      <c r="I11" t="s">
        <v>14</v>
      </c>
      <c r="K11">
        <v>49</v>
      </c>
      <c r="L11" t="s">
        <v>21</v>
      </c>
      <c r="M11" t="s">
        <v>28</v>
      </c>
    </row>
    <row r="12" spans="1:13" x14ac:dyDescent="0.3">
      <c r="A12" t="s">
        <v>71</v>
      </c>
      <c r="B12" s="18">
        <v>45473</v>
      </c>
      <c r="C12" s="19">
        <v>0.77708333333333335</v>
      </c>
      <c r="D12" t="s">
        <v>72</v>
      </c>
      <c r="E12" t="s">
        <v>33</v>
      </c>
      <c r="F12">
        <v>63</v>
      </c>
      <c r="G12" t="s">
        <v>73</v>
      </c>
      <c r="H12" t="s">
        <v>36</v>
      </c>
      <c r="I12" t="s">
        <v>14</v>
      </c>
      <c r="K12">
        <v>60</v>
      </c>
      <c r="L12" t="s">
        <v>24</v>
      </c>
      <c r="M12" t="s">
        <v>28</v>
      </c>
    </row>
    <row r="13" spans="1:13" x14ac:dyDescent="0.3">
      <c r="A13" t="s">
        <v>74</v>
      </c>
      <c r="B13" s="18">
        <v>45107</v>
      </c>
      <c r="C13" s="19">
        <v>0.11458333333333333</v>
      </c>
      <c r="D13" t="s">
        <v>75</v>
      </c>
      <c r="E13" t="s">
        <v>32</v>
      </c>
      <c r="F13">
        <v>7</v>
      </c>
      <c r="G13" t="s">
        <v>55</v>
      </c>
      <c r="H13" t="s">
        <v>36</v>
      </c>
      <c r="I13" t="s">
        <v>13</v>
      </c>
      <c r="K13">
        <v>37</v>
      </c>
      <c r="L13" t="s">
        <v>18</v>
      </c>
      <c r="M13" t="s">
        <v>28</v>
      </c>
    </row>
    <row r="14" spans="1:13" x14ac:dyDescent="0.3">
      <c r="A14" t="s">
        <v>76</v>
      </c>
      <c r="B14" s="18">
        <v>45082</v>
      </c>
      <c r="C14" s="19">
        <v>0.55486111111111114</v>
      </c>
      <c r="D14" t="s">
        <v>77</v>
      </c>
      <c r="E14" t="s">
        <v>32</v>
      </c>
      <c r="F14">
        <v>12</v>
      </c>
      <c r="G14" t="s">
        <v>55</v>
      </c>
      <c r="H14" t="s">
        <v>36</v>
      </c>
      <c r="I14" t="s">
        <v>13</v>
      </c>
      <c r="K14">
        <v>44</v>
      </c>
      <c r="L14" t="s">
        <v>19</v>
      </c>
      <c r="M14" t="s">
        <v>28</v>
      </c>
    </row>
    <row r="15" spans="1:13" x14ac:dyDescent="0.3">
      <c r="A15" t="s">
        <v>78</v>
      </c>
      <c r="B15" s="18">
        <v>45085</v>
      </c>
      <c r="C15" s="19">
        <v>2.7777777777777776E-2</v>
      </c>
      <c r="D15" t="s">
        <v>79</v>
      </c>
      <c r="E15" t="s">
        <v>32</v>
      </c>
      <c r="F15">
        <v>37</v>
      </c>
      <c r="G15" t="s">
        <v>52</v>
      </c>
      <c r="H15" t="s">
        <v>36</v>
      </c>
      <c r="I15" t="s">
        <v>13</v>
      </c>
      <c r="K15">
        <v>34</v>
      </c>
      <c r="L15" t="s">
        <v>21</v>
      </c>
      <c r="M15" t="s">
        <v>28</v>
      </c>
    </row>
    <row r="16" spans="1:13" x14ac:dyDescent="0.3">
      <c r="A16" t="s">
        <v>80</v>
      </c>
      <c r="B16" s="18">
        <v>45461</v>
      </c>
      <c r="C16" s="19">
        <v>0.89236111111111116</v>
      </c>
      <c r="D16" t="s">
        <v>81</v>
      </c>
      <c r="E16" t="s">
        <v>32</v>
      </c>
      <c r="F16">
        <v>56</v>
      </c>
      <c r="G16" t="s">
        <v>82</v>
      </c>
      <c r="H16" t="s">
        <v>36</v>
      </c>
      <c r="I16" t="s">
        <v>13</v>
      </c>
      <c r="K16">
        <v>55</v>
      </c>
      <c r="L16" t="s">
        <v>23</v>
      </c>
      <c r="M16" t="s">
        <v>28</v>
      </c>
    </row>
    <row r="17" spans="1:13" x14ac:dyDescent="0.3">
      <c r="A17" t="s">
        <v>83</v>
      </c>
      <c r="B17" s="18">
        <v>45467</v>
      </c>
      <c r="C17" s="19">
        <v>0.53333333333333333</v>
      </c>
      <c r="D17" t="s">
        <v>84</v>
      </c>
      <c r="E17" t="s">
        <v>32</v>
      </c>
      <c r="F17">
        <v>1</v>
      </c>
      <c r="G17" t="s">
        <v>66</v>
      </c>
      <c r="H17" t="s">
        <v>36</v>
      </c>
      <c r="I17" t="s">
        <v>13</v>
      </c>
      <c r="K17">
        <v>55</v>
      </c>
      <c r="L17" t="s">
        <v>18</v>
      </c>
      <c r="M17" t="s">
        <v>28</v>
      </c>
    </row>
    <row r="18" spans="1:13" x14ac:dyDescent="0.3">
      <c r="A18" t="s">
        <v>85</v>
      </c>
      <c r="B18" s="18">
        <v>45078</v>
      </c>
      <c r="C18" s="19">
        <v>0.39166666666666666</v>
      </c>
      <c r="D18" t="s">
        <v>86</v>
      </c>
      <c r="E18" t="s">
        <v>32</v>
      </c>
      <c r="F18">
        <v>23</v>
      </c>
      <c r="G18" t="s">
        <v>66</v>
      </c>
      <c r="H18" t="s">
        <v>36</v>
      </c>
      <c r="I18" t="s">
        <v>13</v>
      </c>
      <c r="K18">
        <v>23</v>
      </c>
      <c r="L18" t="s">
        <v>20</v>
      </c>
      <c r="M18" t="s">
        <v>29</v>
      </c>
    </row>
    <row r="19" spans="1:13" x14ac:dyDescent="0.3">
      <c r="A19" t="s">
        <v>87</v>
      </c>
      <c r="B19" s="18">
        <v>45470</v>
      </c>
      <c r="C19" s="19">
        <v>0.95486111111111116</v>
      </c>
      <c r="D19" t="s">
        <v>88</v>
      </c>
      <c r="E19" t="s">
        <v>32</v>
      </c>
      <c r="F19">
        <v>79</v>
      </c>
      <c r="G19" t="s">
        <v>66</v>
      </c>
      <c r="H19" t="s">
        <v>36</v>
      </c>
      <c r="I19" t="s">
        <v>13</v>
      </c>
      <c r="K19">
        <v>43</v>
      </c>
      <c r="L19" t="s">
        <v>25</v>
      </c>
      <c r="M19" t="s">
        <v>28</v>
      </c>
    </row>
    <row r="20" spans="1:13" x14ac:dyDescent="0.3">
      <c r="A20" t="s">
        <v>89</v>
      </c>
      <c r="B20" s="18">
        <v>45089</v>
      </c>
      <c r="C20" s="19">
        <v>0.84930555555555554</v>
      </c>
      <c r="D20" t="s">
        <v>90</v>
      </c>
      <c r="E20" t="s">
        <v>32</v>
      </c>
      <c r="F20">
        <v>33</v>
      </c>
      <c r="G20" t="s">
        <v>73</v>
      </c>
      <c r="H20" t="s">
        <v>36</v>
      </c>
      <c r="I20" t="s">
        <v>13</v>
      </c>
      <c r="K20">
        <v>16</v>
      </c>
      <c r="L20" t="s">
        <v>21</v>
      </c>
      <c r="M20" t="s">
        <v>29</v>
      </c>
    </row>
    <row r="21" spans="1:13" x14ac:dyDescent="0.3">
      <c r="A21" t="s">
        <v>91</v>
      </c>
      <c r="B21" s="18">
        <v>45447</v>
      </c>
      <c r="C21" s="19">
        <v>0.92291666666666672</v>
      </c>
      <c r="D21" t="s">
        <v>92</v>
      </c>
      <c r="E21" t="s">
        <v>33</v>
      </c>
      <c r="F21">
        <v>74</v>
      </c>
      <c r="G21" t="s">
        <v>66</v>
      </c>
      <c r="H21" t="s">
        <v>36</v>
      </c>
      <c r="I21" t="s">
        <v>13</v>
      </c>
      <c r="K21">
        <v>44</v>
      </c>
      <c r="L21" t="s">
        <v>25</v>
      </c>
      <c r="M21" t="s">
        <v>28</v>
      </c>
    </row>
    <row r="22" spans="1:13" x14ac:dyDescent="0.3">
      <c r="A22" t="s">
        <v>93</v>
      </c>
      <c r="B22" s="18">
        <v>45450</v>
      </c>
      <c r="C22" s="19">
        <v>0.4465277777777778</v>
      </c>
      <c r="D22" t="s">
        <v>94</v>
      </c>
      <c r="E22" t="s">
        <v>33</v>
      </c>
      <c r="F22">
        <v>37</v>
      </c>
      <c r="G22" t="s">
        <v>73</v>
      </c>
      <c r="H22" t="s">
        <v>36</v>
      </c>
      <c r="I22" t="s">
        <v>13</v>
      </c>
      <c r="K22">
        <v>12</v>
      </c>
      <c r="L22" t="s">
        <v>21</v>
      </c>
      <c r="M22" t="s">
        <v>29</v>
      </c>
    </row>
    <row r="23" spans="1:13" x14ac:dyDescent="0.3">
      <c r="A23" t="s">
        <v>95</v>
      </c>
      <c r="B23" s="18">
        <v>45099</v>
      </c>
      <c r="C23" s="19">
        <v>0.99305555555555558</v>
      </c>
      <c r="D23" t="s">
        <v>96</v>
      </c>
      <c r="E23" t="s">
        <v>32</v>
      </c>
      <c r="F23">
        <v>22</v>
      </c>
      <c r="G23" t="s">
        <v>60</v>
      </c>
      <c r="H23" t="s">
        <v>36</v>
      </c>
      <c r="I23" t="s">
        <v>14</v>
      </c>
      <c r="J23">
        <v>7</v>
      </c>
      <c r="K23">
        <v>41</v>
      </c>
      <c r="L23" t="s">
        <v>20</v>
      </c>
      <c r="M23" t="s">
        <v>28</v>
      </c>
    </row>
    <row r="24" spans="1:13" x14ac:dyDescent="0.3">
      <c r="A24" t="s">
        <v>97</v>
      </c>
      <c r="B24" s="18">
        <v>45444</v>
      </c>
      <c r="C24" s="19">
        <v>0.26319444444444445</v>
      </c>
      <c r="D24" t="s">
        <v>98</v>
      </c>
      <c r="E24" t="s">
        <v>32</v>
      </c>
      <c r="F24">
        <v>36</v>
      </c>
      <c r="G24" t="s">
        <v>52</v>
      </c>
      <c r="H24" t="s">
        <v>36</v>
      </c>
      <c r="I24" t="s">
        <v>14</v>
      </c>
      <c r="J24">
        <v>5</v>
      </c>
      <c r="K24">
        <v>15</v>
      </c>
      <c r="L24" t="s">
        <v>21</v>
      </c>
      <c r="M24" t="s">
        <v>29</v>
      </c>
    </row>
    <row r="25" spans="1:13" x14ac:dyDescent="0.3">
      <c r="A25" t="s">
        <v>99</v>
      </c>
      <c r="B25" s="18">
        <v>45096</v>
      </c>
      <c r="C25" s="19">
        <v>0.35138888888888886</v>
      </c>
      <c r="D25" t="s">
        <v>100</v>
      </c>
      <c r="E25" t="s">
        <v>33</v>
      </c>
      <c r="F25">
        <v>3</v>
      </c>
      <c r="G25" t="s">
        <v>55</v>
      </c>
      <c r="H25" t="s">
        <v>36</v>
      </c>
      <c r="I25" t="s">
        <v>14</v>
      </c>
      <c r="J25">
        <v>0</v>
      </c>
      <c r="K25">
        <v>59</v>
      </c>
      <c r="L25" t="s">
        <v>18</v>
      </c>
      <c r="M25" t="s">
        <v>28</v>
      </c>
    </row>
    <row r="26" spans="1:13" x14ac:dyDescent="0.3">
      <c r="A26" t="s">
        <v>101</v>
      </c>
      <c r="B26" s="18">
        <v>45458</v>
      </c>
      <c r="C26" s="19">
        <v>5.6250000000000001E-2</v>
      </c>
      <c r="D26" t="s">
        <v>102</v>
      </c>
      <c r="E26" t="s">
        <v>33</v>
      </c>
      <c r="F26">
        <v>67</v>
      </c>
      <c r="G26" t="s">
        <v>60</v>
      </c>
      <c r="H26" t="s">
        <v>36</v>
      </c>
      <c r="I26" t="s">
        <v>13</v>
      </c>
      <c r="J26">
        <v>7</v>
      </c>
      <c r="K26">
        <v>29</v>
      </c>
      <c r="L26" t="s">
        <v>24</v>
      </c>
      <c r="M26" t="s">
        <v>29</v>
      </c>
    </row>
    <row r="27" spans="1:13" x14ac:dyDescent="0.3">
      <c r="A27" t="s">
        <v>103</v>
      </c>
      <c r="B27" s="18">
        <v>45094</v>
      </c>
      <c r="C27" s="19">
        <v>0.54374999999999996</v>
      </c>
      <c r="D27" t="s">
        <v>104</v>
      </c>
      <c r="E27" t="s">
        <v>32</v>
      </c>
      <c r="F27">
        <v>59</v>
      </c>
      <c r="G27" t="s">
        <v>73</v>
      </c>
      <c r="H27" t="s">
        <v>36</v>
      </c>
      <c r="I27" t="s">
        <v>14</v>
      </c>
      <c r="J27">
        <v>8</v>
      </c>
      <c r="K27">
        <v>14</v>
      </c>
      <c r="L27" t="s">
        <v>23</v>
      </c>
      <c r="M27" t="s">
        <v>29</v>
      </c>
    </row>
    <row r="28" spans="1:13" x14ac:dyDescent="0.3">
      <c r="A28" t="s">
        <v>105</v>
      </c>
      <c r="B28" s="18">
        <v>45106</v>
      </c>
      <c r="C28" s="19">
        <v>0.80486111111111114</v>
      </c>
      <c r="D28" t="s">
        <v>106</v>
      </c>
      <c r="E28" t="s">
        <v>32</v>
      </c>
      <c r="F28">
        <v>59</v>
      </c>
      <c r="G28" t="s">
        <v>73</v>
      </c>
      <c r="H28" t="s">
        <v>36</v>
      </c>
      <c r="I28" t="s">
        <v>14</v>
      </c>
      <c r="J28">
        <v>7</v>
      </c>
      <c r="K28">
        <v>47</v>
      </c>
      <c r="L28" t="s">
        <v>23</v>
      </c>
      <c r="M28"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5FF7-185C-4209-A5E0-070AAA39A256}">
  <dimension ref="A3:K99"/>
  <sheetViews>
    <sheetView workbookViewId="0">
      <selection activeCell="E8" sqref="E8"/>
    </sheetView>
  </sheetViews>
  <sheetFormatPr defaultRowHeight="14.4" x14ac:dyDescent="0.3"/>
  <cols>
    <col min="1" max="1" width="16.5546875" customWidth="1"/>
    <col min="2" max="2" width="28.109375" bestFit="1" customWidth="1"/>
    <col min="3" max="3" width="19.6640625" customWidth="1"/>
    <col min="4" max="4" width="24.6640625" customWidth="1"/>
    <col min="5" max="5" width="23.88671875" bestFit="1" customWidth="1"/>
    <col min="7" max="7" width="15.6640625" bestFit="1" customWidth="1"/>
    <col min="8" max="8" width="23.88671875" bestFit="1" customWidth="1"/>
    <col min="10" max="10" width="12.5546875" bestFit="1" customWidth="1"/>
    <col min="11" max="11" width="32.44140625" bestFit="1" customWidth="1"/>
  </cols>
  <sheetData>
    <row r="3" spans="1:11" x14ac:dyDescent="0.3">
      <c r="A3" t="s">
        <v>1</v>
      </c>
      <c r="D3" t="s">
        <v>7</v>
      </c>
      <c r="G3" t="s">
        <v>8</v>
      </c>
      <c r="J3" t="s">
        <v>11</v>
      </c>
    </row>
    <row r="4" spans="1:11" x14ac:dyDescent="0.3">
      <c r="A4" t="s">
        <v>0</v>
      </c>
      <c r="D4" s="1" t="s">
        <v>4</v>
      </c>
      <c r="E4" t="s">
        <v>0</v>
      </c>
      <c r="G4" s="1" t="s">
        <v>4</v>
      </c>
      <c r="H4" t="s">
        <v>2</v>
      </c>
      <c r="J4" s="1" t="s">
        <v>4</v>
      </c>
      <c r="K4" t="s">
        <v>3</v>
      </c>
    </row>
    <row r="5" spans="1:11" x14ac:dyDescent="0.3">
      <c r="A5" s="23">
        <v>519</v>
      </c>
      <c r="D5" s="4" t="s">
        <v>118</v>
      </c>
      <c r="E5" s="23">
        <v>14</v>
      </c>
      <c r="G5" s="4" t="s">
        <v>118</v>
      </c>
      <c r="H5" s="2">
        <v>35.642857142857146</v>
      </c>
      <c r="J5" s="4" t="s">
        <v>118</v>
      </c>
      <c r="K5" s="2">
        <v>7.4</v>
      </c>
    </row>
    <row r="6" spans="1:11" x14ac:dyDescent="0.3">
      <c r="D6" s="4" t="s">
        <v>119</v>
      </c>
      <c r="E6" s="23">
        <v>21</v>
      </c>
      <c r="G6" s="4" t="s">
        <v>119</v>
      </c>
      <c r="H6" s="2">
        <v>27</v>
      </c>
      <c r="J6" s="4" t="s">
        <v>119</v>
      </c>
      <c r="K6" s="2">
        <v>5.6</v>
      </c>
    </row>
    <row r="7" spans="1:11" x14ac:dyDescent="0.3">
      <c r="D7" s="4" t="s">
        <v>120</v>
      </c>
      <c r="E7" s="23">
        <v>21</v>
      </c>
      <c r="G7" s="4" t="s">
        <v>120</v>
      </c>
      <c r="H7" s="2">
        <v>36.047619047619051</v>
      </c>
      <c r="J7" s="4" t="s">
        <v>120</v>
      </c>
      <c r="K7" s="2">
        <v>6.7142857142857144</v>
      </c>
    </row>
    <row r="8" spans="1:11" x14ac:dyDescent="0.3">
      <c r="A8" t="s">
        <v>2</v>
      </c>
      <c r="D8" s="4" t="s">
        <v>121</v>
      </c>
      <c r="E8" s="23">
        <v>15</v>
      </c>
      <c r="G8" s="4" t="s">
        <v>121</v>
      </c>
      <c r="H8" s="2">
        <v>38.866666666666667</v>
      </c>
      <c r="J8" s="4" t="s">
        <v>121</v>
      </c>
      <c r="K8" s="2">
        <v>6</v>
      </c>
    </row>
    <row r="9" spans="1:11" x14ac:dyDescent="0.3">
      <c r="A9" s="2">
        <v>35.809248554913296</v>
      </c>
      <c r="D9" s="4" t="s">
        <v>122</v>
      </c>
      <c r="E9" s="23">
        <v>11</v>
      </c>
      <c r="G9" s="4" t="s">
        <v>122</v>
      </c>
      <c r="H9" s="2">
        <v>35.909090909090907</v>
      </c>
      <c r="J9" s="4" t="s">
        <v>122</v>
      </c>
      <c r="K9" s="2">
        <v>4</v>
      </c>
    </row>
    <row r="10" spans="1:11" x14ac:dyDescent="0.3">
      <c r="D10" s="4" t="s">
        <v>123</v>
      </c>
      <c r="E10" s="23">
        <v>17</v>
      </c>
      <c r="G10" s="4" t="s">
        <v>123</v>
      </c>
      <c r="H10" s="2">
        <v>38.470588235294116</v>
      </c>
      <c r="J10" s="4" t="s">
        <v>123</v>
      </c>
      <c r="K10" s="2">
        <v>4.7142857142857144</v>
      </c>
    </row>
    <row r="11" spans="1:11" x14ac:dyDescent="0.3">
      <c r="A11" t="s">
        <v>3</v>
      </c>
      <c r="D11" s="4" t="s">
        <v>124</v>
      </c>
      <c r="E11" s="23">
        <v>15</v>
      </c>
      <c r="G11" s="4" t="s">
        <v>124</v>
      </c>
      <c r="H11" s="2">
        <v>36.733333333333334</v>
      </c>
      <c r="J11" s="4" t="s">
        <v>124</v>
      </c>
      <c r="K11" s="2">
        <v>1.8</v>
      </c>
    </row>
    <row r="12" spans="1:11" x14ac:dyDescent="0.3">
      <c r="A12" s="2">
        <v>5.1455696202531644</v>
      </c>
      <c r="D12" s="4" t="s">
        <v>125</v>
      </c>
      <c r="E12" s="23">
        <v>17</v>
      </c>
      <c r="G12" s="4" t="s">
        <v>125</v>
      </c>
      <c r="H12" s="2">
        <v>34.588235294117645</v>
      </c>
      <c r="J12" s="4" t="s">
        <v>125</v>
      </c>
      <c r="K12" s="2">
        <v>4.833333333333333</v>
      </c>
    </row>
    <row r="13" spans="1:11" x14ac:dyDescent="0.3">
      <c r="D13" s="4" t="s">
        <v>126</v>
      </c>
      <c r="E13" s="23">
        <v>13</v>
      </c>
      <c r="G13" s="4" t="s">
        <v>126</v>
      </c>
      <c r="H13" s="2">
        <v>37.53846153846154</v>
      </c>
      <c r="J13" s="4" t="s">
        <v>126</v>
      </c>
      <c r="K13" s="2">
        <v>4.25</v>
      </c>
    </row>
    <row r="14" spans="1:11" x14ac:dyDescent="0.3">
      <c r="D14" s="4" t="s">
        <v>127</v>
      </c>
      <c r="E14" s="23">
        <v>24</v>
      </c>
      <c r="G14" s="4" t="s">
        <v>127</v>
      </c>
      <c r="H14" s="2">
        <v>31.708333333333332</v>
      </c>
      <c r="J14" s="4" t="s">
        <v>127</v>
      </c>
      <c r="K14" s="2">
        <v>4.5999999999999996</v>
      </c>
    </row>
    <row r="15" spans="1:11" x14ac:dyDescent="0.3">
      <c r="D15" s="4" t="s">
        <v>128</v>
      </c>
      <c r="E15" s="23">
        <v>13</v>
      </c>
      <c r="G15" s="4" t="s">
        <v>128</v>
      </c>
      <c r="H15" s="2">
        <v>28.923076923076923</v>
      </c>
      <c r="J15" s="4" t="s">
        <v>128</v>
      </c>
      <c r="K15" s="2">
        <v>6.5</v>
      </c>
    </row>
    <row r="16" spans="1:11" x14ac:dyDescent="0.3">
      <c r="D16" s="4" t="s">
        <v>129</v>
      </c>
      <c r="E16" s="23">
        <v>14</v>
      </c>
      <c r="G16" s="4" t="s">
        <v>129</v>
      </c>
      <c r="H16" s="2">
        <v>42.071428571428569</v>
      </c>
      <c r="J16" s="4" t="s">
        <v>129</v>
      </c>
      <c r="K16" s="2">
        <v>5</v>
      </c>
    </row>
    <row r="17" spans="4:11" x14ac:dyDescent="0.3">
      <c r="D17" s="4" t="s">
        <v>130</v>
      </c>
      <c r="E17" s="23">
        <v>12</v>
      </c>
      <c r="G17" s="4" t="s">
        <v>130</v>
      </c>
      <c r="H17" s="2">
        <v>35.833333333333336</v>
      </c>
      <c r="J17" s="4" t="s">
        <v>130</v>
      </c>
      <c r="K17" s="2">
        <v>6</v>
      </c>
    </row>
    <row r="18" spans="4:11" x14ac:dyDescent="0.3">
      <c r="D18" s="4" t="s">
        <v>131</v>
      </c>
      <c r="E18" s="23">
        <v>11</v>
      </c>
      <c r="G18" s="4" t="s">
        <v>131</v>
      </c>
      <c r="H18" s="2">
        <v>28.727272727272727</v>
      </c>
      <c r="J18" s="4" t="s">
        <v>131</v>
      </c>
      <c r="K18" s="2">
        <v>4.7142857142857144</v>
      </c>
    </row>
    <row r="19" spans="4:11" x14ac:dyDescent="0.3">
      <c r="D19" s="4" t="s">
        <v>132</v>
      </c>
      <c r="E19" s="23">
        <v>16</v>
      </c>
      <c r="G19" s="4" t="s">
        <v>132</v>
      </c>
      <c r="H19" s="2">
        <v>35.75</v>
      </c>
      <c r="J19" s="4" t="s">
        <v>132</v>
      </c>
      <c r="K19" s="2">
        <v>4.2</v>
      </c>
    </row>
    <row r="20" spans="4:11" x14ac:dyDescent="0.3">
      <c r="D20" s="4" t="s">
        <v>133</v>
      </c>
      <c r="E20" s="23">
        <v>20</v>
      </c>
      <c r="G20" s="4" t="s">
        <v>133</v>
      </c>
      <c r="H20" s="2">
        <v>34.75</v>
      </c>
      <c r="J20" s="4" t="s">
        <v>133</v>
      </c>
      <c r="K20" s="2">
        <v>7.2</v>
      </c>
    </row>
    <row r="21" spans="4:11" x14ac:dyDescent="0.3">
      <c r="D21" s="4" t="s">
        <v>134</v>
      </c>
      <c r="E21" s="23">
        <v>15</v>
      </c>
      <c r="G21" s="4" t="s">
        <v>134</v>
      </c>
      <c r="H21" s="2">
        <v>37.666666666666664</v>
      </c>
      <c r="J21" s="4" t="s">
        <v>134</v>
      </c>
      <c r="K21" s="2">
        <v>4.333333333333333</v>
      </c>
    </row>
    <row r="22" spans="4:11" x14ac:dyDescent="0.3">
      <c r="D22" s="4" t="s">
        <v>135</v>
      </c>
      <c r="E22" s="23">
        <v>19</v>
      </c>
      <c r="G22" s="4" t="s">
        <v>135</v>
      </c>
      <c r="H22" s="2">
        <v>40.421052631578945</v>
      </c>
      <c r="J22" s="4" t="s">
        <v>135</v>
      </c>
      <c r="K22" s="2">
        <v>3.7777777777777777</v>
      </c>
    </row>
    <row r="23" spans="4:11" x14ac:dyDescent="0.3">
      <c r="D23" s="4" t="s">
        <v>136</v>
      </c>
      <c r="E23" s="23">
        <v>16</v>
      </c>
      <c r="G23" s="4" t="s">
        <v>136</v>
      </c>
      <c r="H23" s="2">
        <v>33.75</v>
      </c>
      <c r="J23" s="4" t="s">
        <v>136</v>
      </c>
      <c r="K23" s="2">
        <v>3.6666666666666665</v>
      </c>
    </row>
    <row r="24" spans="4:11" x14ac:dyDescent="0.3">
      <c r="D24" s="4" t="s">
        <v>137</v>
      </c>
      <c r="E24" s="23">
        <v>17</v>
      </c>
      <c r="G24" s="4" t="s">
        <v>137</v>
      </c>
      <c r="H24" s="2">
        <v>32.764705882352942</v>
      </c>
      <c r="J24" s="4" t="s">
        <v>137</v>
      </c>
      <c r="K24" s="2">
        <v>4</v>
      </c>
    </row>
    <row r="25" spans="4:11" x14ac:dyDescent="0.3">
      <c r="D25" s="4" t="s">
        <v>138</v>
      </c>
      <c r="E25" s="23">
        <v>28</v>
      </c>
      <c r="G25" s="4" t="s">
        <v>138</v>
      </c>
      <c r="H25" s="2">
        <v>37.357142857142854</v>
      </c>
      <c r="J25" s="4" t="s">
        <v>138</v>
      </c>
      <c r="K25" s="2">
        <v>5.833333333333333</v>
      </c>
    </row>
    <row r="26" spans="4:11" x14ac:dyDescent="0.3">
      <c r="D26" s="4" t="s">
        <v>139</v>
      </c>
      <c r="E26" s="23">
        <v>22</v>
      </c>
      <c r="G26" s="4" t="s">
        <v>139</v>
      </c>
      <c r="H26" s="2">
        <v>37.227272727272727</v>
      </c>
      <c r="J26" s="4" t="s">
        <v>139</v>
      </c>
      <c r="K26" s="2">
        <v>5.666666666666667</v>
      </c>
    </row>
    <row r="27" spans="4:11" x14ac:dyDescent="0.3">
      <c r="D27" s="4" t="s">
        <v>140</v>
      </c>
      <c r="E27" s="23">
        <v>20</v>
      </c>
      <c r="G27" s="4" t="s">
        <v>140</v>
      </c>
      <c r="H27" s="2">
        <v>36.700000000000003</v>
      </c>
      <c r="J27" s="4" t="s">
        <v>140</v>
      </c>
      <c r="K27" s="2">
        <v>5.5</v>
      </c>
    </row>
    <row r="28" spans="4:11" x14ac:dyDescent="0.3">
      <c r="D28" s="4" t="s">
        <v>141</v>
      </c>
      <c r="E28" s="23">
        <v>17</v>
      </c>
      <c r="G28" s="4" t="s">
        <v>141</v>
      </c>
      <c r="H28" s="2">
        <v>43.058823529411768</v>
      </c>
      <c r="J28" s="4" t="s">
        <v>141</v>
      </c>
      <c r="K28" s="2">
        <v>5.5</v>
      </c>
    </row>
    <row r="29" spans="4:11" x14ac:dyDescent="0.3">
      <c r="D29" s="4" t="s">
        <v>142</v>
      </c>
      <c r="E29" s="23">
        <v>18</v>
      </c>
      <c r="G29" s="4" t="s">
        <v>142</v>
      </c>
      <c r="H29" s="2">
        <v>39.777777777777779</v>
      </c>
      <c r="J29" s="4" t="s">
        <v>142</v>
      </c>
      <c r="K29" s="2">
        <v>7</v>
      </c>
    </row>
    <row r="30" spans="4:11" x14ac:dyDescent="0.3">
      <c r="D30" s="4" t="s">
        <v>143</v>
      </c>
      <c r="E30" s="23">
        <v>13</v>
      </c>
      <c r="G30" s="4" t="s">
        <v>143</v>
      </c>
      <c r="H30" s="2">
        <v>40.692307692307693</v>
      </c>
      <c r="J30" s="4" t="s">
        <v>143</v>
      </c>
      <c r="K30" s="2">
        <v>7</v>
      </c>
    </row>
    <row r="31" spans="4:11" x14ac:dyDescent="0.3">
      <c r="D31" s="4" t="s">
        <v>144</v>
      </c>
      <c r="E31" s="23">
        <v>13</v>
      </c>
      <c r="G31" s="4" t="s">
        <v>144</v>
      </c>
      <c r="H31" s="2">
        <v>34.46153846153846</v>
      </c>
      <c r="J31" s="4" t="s">
        <v>144</v>
      </c>
      <c r="K31" s="2">
        <v>4</v>
      </c>
    </row>
    <row r="32" spans="4:11" x14ac:dyDescent="0.3">
      <c r="D32" s="4" t="s">
        <v>145</v>
      </c>
      <c r="E32" s="23">
        <v>13</v>
      </c>
      <c r="G32" s="4" t="s">
        <v>145</v>
      </c>
      <c r="H32" s="2">
        <v>30.307692307692307</v>
      </c>
      <c r="J32" s="4" t="s">
        <v>145</v>
      </c>
      <c r="K32" s="2">
        <v>4.4444444444444446</v>
      </c>
    </row>
    <row r="33" spans="1:11" x14ac:dyDescent="0.3">
      <c r="D33" s="4" t="s">
        <v>146</v>
      </c>
      <c r="E33" s="23">
        <v>20</v>
      </c>
      <c r="G33" s="4" t="s">
        <v>146</v>
      </c>
      <c r="H33" s="2">
        <v>38.5</v>
      </c>
      <c r="J33" s="4" t="s">
        <v>146</v>
      </c>
      <c r="K33" s="2">
        <v>4.8571428571428568</v>
      </c>
    </row>
    <row r="34" spans="1:11" x14ac:dyDescent="0.3">
      <c r="D34" s="4" t="s">
        <v>147</v>
      </c>
      <c r="E34" s="23">
        <v>15</v>
      </c>
      <c r="G34" s="4" t="s">
        <v>147</v>
      </c>
      <c r="H34" s="2">
        <v>35.333333333333336</v>
      </c>
      <c r="J34" s="4" t="s">
        <v>147</v>
      </c>
      <c r="K34" s="2">
        <v>5.5714285714285712</v>
      </c>
    </row>
    <row r="35" spans="1:11" x14ac:dyDescent="0.3">
      <c r="D35" s="4" t="s">
        <v>148</v>
      </c>
      <c r="E35" s="23">
        <v>19</v>
      </c>
      <c r="G35" s="4" t="s">
        <v>148</v>
      </c>
      <c r="H35" s="2">
        <v>32.421052631578945</v>
      </c>
      <c r="J35" s="4" t="s">
        <v>148</v>
      </c>
      <c r="K35" s="2">
        <v>6</v>
      </c>
    </row>
    <row r="36" spans="1:11" x14ac:dyDescent="0.3">
      <c r="D36" s="4" t="s">
        <v>5</v>
      </c>
      <c r="E36" s="23">
        <v>519</v>
      </c>
      <c r="G36" s="4" t="s">
        <v>5</v>
      </c>
      <c r="H36" s="2">
        <v>35.809248554913296</v>
      </c>
      <c r="J36" s="4" t="s">
        <v>5</v>
      </c>
      <c r="K36" s="2">
        <v>5.1455696202531644</v>
      </c>
    </row>
    <row r="37" spans="1:11" x14ac:dyDescent="0.3">
      <c r="H37" s="2"/>
    </row>
    <row r="44" spans="1:11" x14ac:dyDescent="0.3">
      <c r="A44" s="1" t="s">
        <v>4</v>
      </c>
      <c r="B44" t="s">
        <v>12</v>
      </c>
      <c r="C44" t="s">
        <v>15</v>
      </c>
    </row>
    <row r="45" spans="1:11" x14ac:dyDescent="0.3">
      <c r="A45" s="4" t="s">
        <v>13</v>
      </c>
      <c r="B45" s="11">
        <v>266</v>
      </c>
      <c r="C45" s="12">
        <v>0.51252408477842004</v>
      </c>
    </row>
    <row r="46" spans="1:11" x14ac:dyDescent="0.3">
      <c r="A46" s="4" t="s">
        <v>14</v>
      </c>
      <c r="B46" s="11">
        <v>253</v>
      </c>
      <c r="C46" s="12">
        <v>0.48747591522157996</v>
      </c>
    </row>
    <row r="47" spans="1:11" x14ac:dyDescent="0.3">
      <c r="A47" s="4" t="s">
        <v>5</v>
      </c>
      <c r="B47" s="11">
        <v>519</v>
      </c>
      <c r="C47" s="12">
        <v>1</v>
      </c>
    </row>
    <row r="52" spans="1:4" x14ac:dyDescent="0.3">
      <c r="A52" s="16" t="s">
        <v>16</v>
      </c>
      <c r="B52" s="16" t="s">
        <v>1</v>
      </c>
      <c r="C52" s="16" t="s">
        <v>17</v>
      </c>
      <c r="D52" s="13"/>
    </row>
    <row r="53" spans="1:4" x14ac:dyDescent="0.3">
      <c r="A53" s="14" t="str">
        <f>A46</f>
        <v>Not Admitted</v>
      </c>
      <c r="B53" s="14">
        <f>B46</f>
        <v>253</v>
      </c>
      <c r="C53" s="15">
        <f>C46</f>
        <v>0.48747591522157996</v>
      </c>
      <c r="D53" s="14"/>
    </row>
    <row r="54" spans="1:4" x14ac:dyDescent="0.3">
      <c r="A54" s="14" t="str">
        <f>A45</f>
        <v>Admitted</v>
      </c>
      <c r="B54" s="14">
        <f>B45</f>
        <v>266</v>
      </c>
      <c r="C54" s="15">
        <f>C45</f>
        <v>0.51252408477842004</v>
      </c>
      <c r="D54" s="14"/>
    </row>
    <row r="56" spans="1:4" x14ac:dyDescent="0.3">
      <c r="A56" t="s">
        <v>27</v>
      </c>
    </row>
    <row r="57" spans="1:4" x14ac:dyDescent="0.3">
      <c r="A57" s="1" t="s">
        <v>4</v>
      </c>
      <c r="B57" t="s">
        <v>26</v>
      </c>
    </row>
    <row r="58" spans="1:4" x14ac:dyDescent="0.3">
      <c r="A58" s="4" t="s">
        <v>18</v>
      </c>
      <c r="B58" s="11">
        <v>73</v>
      </c>
    </row>
    <row r="59" spans="1:4" x14ac:dyDescent="0.3">
      <c r="A59" s="4" t="s">
        <v>19</v>
      </c>
      <c r="B59" s="11">
        <v>64</v>
      </c>
    </row>
    <row r="60" spans="1:4" x14ac:dyDescent="0.3">
      <c r="A60" s="4" t="s">
        <v>20</v>
      </c>
      <c r="B60" s="11">
        <v>74</v>
      </c>
    </row>
    <row r="61" spans="1:4" x14ac:dyDescent="0.3">
      <c r="A61" s="4" t="s">
        <v>21</v>
      </c>
      <c r="B61" s="11">
        <v>71</v>
      </c>
    </row>
    <row r="62" spans="1:4" x14ac:dyDescent="0.3">
      <c r="A62" s="4" t="s">
        <v>22</v>
      </c>
      <c r="B62" s="11">
        <v>58</v>
      </c>
    </row>
    <row r="63" spans="1:4" x14ac:dyDescent="0.3">
      <c r="A63" s="4" t="s">
        <v>23</v>
      </c>
      <c r="B63" s="11">
        <v>68</v>
      </c>
    </row>
    <row r="64" spans="1:4" x14ac:dyDescent="0.3">
      <c r="A64" s="4" t="s">
        <v>24</v>
      </c>
      <c r="B64" s="11">
        <v>62</v>
      </c>
    </row>
    <row r="65" spans="1:2" x14ac:dyDescent="0.3">
      <c r="A65" s="4" t="s">
        <v>25</v>
      </c>
      <c r="B65" s="11">
        <v>49</v>
      </c>
    </row>
    <row r="66" spans="1:2" x14ac:dyDescent="0.3">
      <c r="A66" s="4" t="s">
        <v>5</v>
      </c>
      <c r="B66" s="11">
        <v>519</v>
      </c>
    </row>
    <row r="69" spans="1:2" x14ac:dyDescent="0.3">
      <c r="A69" s="4" t="s">
        <v>31</v>
      </c>
    </row>
    <row r="70" spans="1:2" x14ac:dyDescent="0.3">
      <c r="A70" s="1" t="s">
        <v>4</v>
      </c>
      <c r="B70" t="s">
        <v>30</v>
      </c>
    </row>
    <row r="71" spans="1:2" x14ac:dyDescent="0.3">
      <c r="A71" s="4" t="s">
        <v>28</v>
      </c>
      <c r="B71" s="11">
        <v>324</v>
      </c>
    </row>
    <row r="72" spans="1:2" x14ac:dyDescent="0.3">
      <c r="A72" s="4" t="s">
        <v>29</v>
      </c>
      <c r="B72" s="11">
        <v>195</v>
      </c>
    </row>
    <row r="73" spans="1:2" x14ac:dyDescent="0.3">
      <c r="A73" s="4" t="s">
        <v>5</v>
      </c>
      <c r="B73" s="11">
        <v>519</v>
      </c>
    </row>
    <row r="75" spans="1:2" x14ac:dyDescent="0.3">
      <c r="A75" s="4" t="s">
        <v>35</v>
      </c>
    </row>
    <row r="76" spans="1:2" x14ac:dyDescent="0.3">
      <c r="A76" s="1" t="s">
        <v>4</v>
      </c>
      <c r="B76" t="s">
        <v>34</v>
      </c>
    </row>
    <row r="77" spans="1:2" x14ac:dyDescent="0.3">
      <c r="A77" s="4" t="s">
        <v>32</v>
      </c>
      <c r="B77" s="11">
        <v>254</v>
      </c>
    </row>
    <row r="78" spans="1:2" x14ac:dyDescent="0.3">
      <c r="A78" s="4" t="s">
        <v>33</v>
      </c>
      <c r="B78" s="11">
        <v>265</v>
      </c>
    </row>
    <row r="79" spans="1:2" x14ac:dyDescent="0.3">
      <c r="A79" s="4" t="s">
        <v>5</v>
      </c>
      <c r="B79" s="11">
        <v>519</v>
      </c>
    </row>
    <row r="84" spans="1:2" x14ac:dyDescent="0.3">
      <c r="A84" s="1" t="s">
        <v>4</v>
      </c>
    </row>
    <row r="85" spans="1:2" x14ac:dyDescent="0.3">
      <c r="A85" s="4" t="s">
        <v>108</v>
      </c>
    </row>
    <row r="86" spans="1:2" x14ac:dyDescent="0.3">
      <c r="A86" s="4" t="s">
        <v>5</v>
      </c>
    </row>
    <row r="89" spans="1:2" x14ac:dyDescent="0.3">
      <c r="A89" s="4" t="s">
        <v>117</v>
      </c>
    </row>
    <row r="90" spans="1:2" x14ac:dyDescent="0.3">
      <c r="A90" s="1" t="s">
        <v>4</v>
      </c>
      <c r="B90" t="s">
        <v>116</v>
      </c>
    </row>
    <row r="91" spans="1:2" x14ac:dyDescent="0.3">
      <c r="A91" s="4" t="s">
        <v>115</v>
      </c>
      <c r="B91" s="11">
        <v>3</v>
      </c>
    </row>
    <row r="92" spans="1:2" x14ac:dyDescent="0.3">
      <c r="A92" s="4" t="s">
        <v>109</v>
      </c>
      <c r="B92" s="11">
        <v>8</v>
      </c>
    </row>
    <row r="93" spans="1:2" x14ac:dyDescent="0.3">
      <c r="A93" s="4" t="s">
        <v>36</v>
      </c>
      <c r="B93" s="11">
        <v>11</v>
      </c>
    </row>
    <row r="94" spans="1:2" x14ac:dyDescent="0.3">
      <c r="A94" s="4" t="s">
        <v>114</v>
      </c>
      <c r="B94" s="11">
        <v>15</v>
      </c>
    </row>
    <row r="95" spans="1:2" x14ac:dyDescent="0.3">
      <c r="A95" s="4" t="s">
        <v>111</v>
      </c>
      <c r="B95" s="11">
        <v>16</v>
      </c>
    </row>
    <row r="96" spans="1:2" x14ac:dyDescent="0.3">
      <c r="A96" s="4" t="s">
        <v>113</v>
      </c>
      <c r="B96" s="11">
        <v>51</v>
      </c>
    </row>
    <row r="97" spans="1:2" x14ac:dyDescent="0.3">
      <c r="A97" s="4" t="s">
        <v>110</v>
      </c>
      <c r="B97" s="11">
        <v>102</v>
      </c>
    </row>
    <row r="98" spans="1:2" x14ac:dyDescent="0.3">
      <c r="A98" s="4" t="s">
        <v>112</v>
      </c>
      <c r="B98" s="11">
        <v>313</v>
      </c>
    </row>
    <row r="99" spans="1:2" x14ac:dyDescent="0.3">
      <c r="A99" s="4" t="s">
        <v>5</v>
      </c>
      <c r="B99" s="11">
        <v>519</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E75F6-C905-49FB-AFB0-B924EA455D82}">
  <dimension ref="A1:M22"/>
  <sheetViews>
    <sheetView tabSelected="1" zoomScale="154" zoomScaleNormal="168" workbookViewId="0">
      <selection activeCell="N3" sqref="N3"/>
    </sheetView>
  </sheetViews>
  <sheetFormatPr defaultRowHeight="14.4" x14ac:dyDescent="0.3"/>
  <cols>
    <col min="13" max="13" width="8.88671875" style="24"/>
  </cols>
  <sheetData>
    <row r="1" spans="1:12" x14ac:dyDescent="0.3">
      <c r="A1" s="3"/>
      <c r="B1" s="3"/>
      <c r="C1" s="3"/>
      <c r="D1" s="3"/>
      <c r="E1" s="3"/>
      <c r="F1" s="3"/>
      <c r="G1" s="3"/>
      <c r="H1" s="3"/>
      <c r="I1" s="3"/>
      <c r="J1" s="3"/>
      <c r="K1" s="3"/>
      <c r="L1" s="3"/>
    </row>
    <row r="2" spans="1:12" x14ac:dyDescent="0.3">
      <c r="A2" s="3"/>
      <c r="B2" s="3"/>
      <c r="C2" s="3"/>
      <c r="D2" s="3"/>
      <c r="E2" s="3"/>
      <c r="F2" s="3"/>
      <c r="G2" s="3"/>
      <c r="H2" s="3"/>
      <c r="I2" s="3"/>
      <c r="J2" s="3"/>
      <c r="K2" s="3"/>
      <c r="L2" s="3"/>
    </row>
    <row r="3" spans="1:12" x14ac:dyDescent="0.3">
      <c r="A3" s="3"/>
      <c r="B3" s="3"/>
      <c r="C3" s="3"/>
      <c r="D3" s="3"/>
      <c r="E3" s="3"/>
      <c r="F3" s="3"/>
      <c r="G3" s="3"/>
      <c r="H3" s="3"/>
      <c r="I3" s="3"/>
      <c r="J3" s="3"/>
      <c r="K3" s="3"/>
      <c r="L3" s="3"/>
    </row>
    <row r="4" spans="1:12" x14ac:dyDescent="0.3">
      <c r="A4" s="3"/>
      <c r="B4" s="3"/>
      <c r="C4" s="3"/>
      <c r="D4" s="3"/>
      <c r="E4" s="3"/>
      <c r="F4" s="3"/>
      <c r="G4" s="3"/>
      <c r="H4" s="3"/>
      <c r="I4" s="3"/>
      <c r="J4" s="3"/>
      <c r="K4" s="3"/>
      <c r="L4" s="3"/>
    </row>
    <row r="5" spans="1:12" x14ac:dyDescent="0.3">
      <c r="A5" s="3"/>
      <c r="B5" s="3"/>
      <c r="C5" s="3"/>
      <c r="D5" s="3"/>
      <c r="E5" s="3"/>
      <c r="F5" s="3"/>
      <c r="G5" s="3"/>
      <c r="H5" s="3"/>
      <c r="I5" s="3"/>
      <c r="J5" s="3"/>
      <c r="K5" s="3"/>
      <c r="L5" s="3"/>
    </row>
    <row r="6" spans="1:12" x14ac:dyDescent="0.3">
      <c r="A6" s="3"/>
      <c r="B6" s="3"/>
      <c r="C6" s="3"/>
      <c r="D6" s="3"/>
      <c r="E6" s="3"/>
      <c r="F6" s="3"/>
      <c r="G6" s="3"/>
      <c r="H6" s="3"/>
      <c r="I6" s="3"/>
      <c r="J6" s="3"/>
      <c r="K6" s="3"/>
      <c r="L6" s="3"/>
    </row>
    <row r="7" spans="1:12" x14ac:dyDescent="0.3">
      <c r="A7" s="3"/>
      <c r="B7" s="3"/>
      <c r="C7" s="3"/>
      <c r="D7" s="3"/>
      <c r="E7" s="3"/>
      <c r="F7" s="3"/>
      <c r="G7" s="3"/>
      <c r="H7" s="3"/>
      <c r="I7" s="3"/>
      <c r="J7" s="3"/>
      <c r="K7" s="3"/>
      <c r="L7" s="3"/>
    </row>
    <row r="8" spans="1:12" x14ac:dyDescent="0.3">
      <c r="A8" s="3"/>
      <c r="B8" s="3"/>
      <c r="C8" s="3"/>
      <c r="D8" s="3"/>
      <c r="E8" s="3"/>
      <c r="F8" s="3"/>
      <c r="G8" s="3"/>
      <c r="H8" s="3"/>
      <c r="I8" s="3"/>
      <c r="J8" s="3"/>
      <c r="K8" s="3"/>
      <c r="L8" s="3"/>
    </row>
    <row r="9" spans="1:12" x14ac:dyDescent="0.3">
      <c r="A9" s="3"/>
      <c r="B9" s="3"/>
      <c r="C9" s="3"/>
      <c r="D9" s="3"/>
      <c r="E9" s="3"/>
      <c r="F9" s="3"/>
      <c r="G9" s="3"/>
      <c r="H9" s="3"/>
      <c r="I9" s="3"/>
      <c r="J9" s="3"/>
      <c r="K9" s="3"/>
      <c r="L9" s="3"/>
    </row>
    <row r="10" spans="1:12" x14ac:dyDescent="0.3">
      <c r="A10" s="3"/>
      <c r="B10" s="3"/>
      <c r="C10" s="3"/>
      <c r="D10" s="3"/>
      <c r="E10" s="3"/>
      <c r="F10" s="3"/>
      <c r="G10" s="3"/>
      <c r="H10" s="3"/>
      <c r="I10" s="3"/>
      <c r="J10" s="3"/>
      <c r="K10" s="3"/>
      <c r="L10" s="3"/>
    </row>
    <row r="11" spans="1:12" x14ac:dyDescent="0.3">
      <c r="A11" s="3"/>
      <c r="B11" s="3"/>
      <c r="C11" s="3"/>
      <c r="D11" s="3"/>
      <c r="E11" s="3"/>
      <c r="F11" s="3"/>
      <c r="G11" s="3"/>
      <c r="H11" s="3"/>
      <c r="I11" s="3"/>
      <c r="J11" s="3"/>
      <c r="K11" s="3"/>
      <c r="L11" s="3"/>
    </row>
    <row r="12" spans="1:12" x14ac:dyDescent="0.3">
      <c r="A12" s="3"/>
      <c r="B12" s="3"/>
      <c r="C12" s="3"/>
      <c r="D12" s="3"/>
      <c r="E12" s="3"/>
      <c r="F12" s="3"/>
      <c r="G12" s="3"/>
      <c r="H12" s="3"/>
      <c r="I12" s="3"/>
      <c r="J12" s="3"/>
      <c r="K12" s="3"/>
      <c r="L12" s="3"/>
    </row>
    <row r="13" spans="1:12" x14ac:dyDescent="0.3">
      <c r="A13" s="3"/>
      <c r="B13" s="3"/>
      <c r="C13" s="3"/>
      <c r="D13" s="3"/>
      <c r="E13" s="3"/>
      <c r="F13" s="3"/>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8" spans="3:8" x14ac:dyDescent="0.3">
      <c r="F18" s="21"/>
      <c r="G18" s="21"/>
      <c r="H18" s="21"/>
    </row>
    <row r="22" spans="3:8" x14ac:dyDescent="0.3">
      <c r="C22" s="17"/>
    </row>
  </sheetData>
  <mergeCells count="1">
    <mergeCell ref="F18:H18"/>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2F633-C9B1-4A24-8045-0300CE47983C}">
  <dimension ref="A26:X27"/>
  <sheetViews>
    <sheetView zoomScale="96" workbookViewId="0"/>
  </sheetViews>
  <sheetFormatPr defaultRowHeight="14.4" x14ac:dyDescent="0.3"/>
  <cols>
    <col min="1" max="23" width="8.88671875" style="5"/>
    <col min="24" max="24" width="8.88671875" style="8"/>
  </cols>
  <sheetData>
    <row r="26" spans="4:19" ht="21.6" customHeight="1" x14ac:dyDescent="0.5">
      <c r="D26" s="7" t="s">
        <v>6</v>
      </c>
      <c r="E26" s="6"/>
      <c r="F26" s="6"/>
      <c r="G26" s="6"/>
      <c r="H26" s="6"/>
      <c r="I26" s="6"/>
      <c r="J26" s="6"/>
      <c r="K26" s="6"/>
      <c r="L26" s="6"/>
      <c r="M26" s="6"/>
      <c r="N26" s="6"/>
      <c r="O26" s="6"/>
      <c r="P26" s="6"/>
      <c r="Q26" s="6"/>
      <c r="R26" s="6"/>
      <c r="S26" s="6"/>
    </row>
    <row r="27" spans="4:19" x14ac:dyDescent="0.3">
      <c r="D27" s="6"/>
      <c r="E27" s="6"/>
      <c r="F27" s="6"/>
      <c r="G27" s="6"/>
      <c r="H27" s="6"/>
      <c r="I27" s="6"/>
      <c r="J27" s="6"/>
      <c r="K27" s="6"/>
      <c r="L27" s="6"/>
      <c r="M27" s="6"/>
      <c r="N27" s="6"/>
      <c r="O27" s="6"/>
      <c r="P27" s="6"/>
      <c r="Q27" s="6"/>
      <c r="R27" s="6"/>
      <c r="S27"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4C2A-7E93-4E95-91D1-AF2655C77186}">
  <dimension ref="A24:AJ24"/>
  <sheetViews>
    <sheetView workbookViewId="0"/>
  </sheetViews>
  <sheetFormatPr defaultRowHeight="14.4" x14ac:dyDescent="0.3"/>
  <cols>
    <col min="1" max="36" width="8.88671875" style="8"/>
  </cols>
  <sheetData>
    <row r="24" spans="2:21" ht="23.4" x14ac:dyDescent="0.45">
      <c r="B24" s="9" t="s">
        <v>9</v>
      </c>
      <c r="C24" s="10"/>
      <c r="D24" s="10"/>
      <c r="E24" s="10"/>
      <c r="F24" s="10"/>
      <c r="G24" s="10"/>
      <c r="H24" s="10"/>
      <c r="I24" s="10"/>
      <c r="J24" s="10"/>
      <c r="K24" s="10"/>
      <c r="L24" s="10"/>
      <c r="M24" s="10"/>
      <c r="N24" s="10"/>
      <c r="O24" s="10"/>
      <c r="P24" s="10"/>
      <c r="Q24" s="10"/>
      <c r="R24" s="10"/>
      <c r="S24" s="10"/>
      <c r="T24" s="10"/>
      <c r="U24" s="1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09F5-92E4-4C2A-9082-1846665A4FB1}">
  <dimension ref="A24:AJ24"/>
  <sheetViews>
    <sheetView workbookViewId="0"/>
  </sheetViews>
  <sheetFormatPr defaultRowHeight="14.4" x14ac:dyDescent="0.3"/>
  <cols>
    <col min="1" max="36" width="8.88671875" style="8"/>
  </cols>
  <sheetData>
    <row r="24" spans="2:21" ht="23.4" x14ac:dyDescent="0.45">
      <c r="B24" s="22" t="s">
        <v>10</v>
      </c>
      <c r="C24" s="22"/>
      <c r="D24" s="22"/>
      <c r="E24" s="22"/>
      <c r="F24" s="22"/>
      <c r="G24" s="22"/>
      <c r="H24" s="22"/>
      <c r="I24" s="22"/>
      <c r="J24" s="22"/>
      <c r="K24" s="22"/>
      <c r="L24" s="22"/>
      <c r="M24" s="22"/>
      <c r="N24" s="22"/>
      <c r="O24" s="22"/>
      <c r="P24" s="22"/>
      <c r="Q24" s="22"/>
      <c r="R24" s="22"/>
      <c r="S24" s="22"/>
      <c r="T24" s="22"/>
      <c r="U24" s="22"/>
    </row>
  </sheetData>
  <mergeCells count="1">
    <mergeCell ref="B24:U2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106A141-6598-42FE-80F6-BD886C0CA927}">
  <ds:schemaRefs/>
</ds:datastoreItem>
</file>

<file path=customXml/itemProps2.xml><?xml version="1.0" encoding="utf-8"?>
<ds:datastoreItem xmlns:ds="http://schemas.openxmlformats.org/officeDocument/2006/customXml" ds:itemID="{CFD1804D-1ED5-4A5A-821A-4D744F3F7DD5}">
  <ds:schemaRefs/>
</ds:datastoreItem>
</file>

<file path=customXml/itemProps3.xml><?xml version="1.0" encoding="utf-8"?>
<ds:datastoreItem xmlns:ds="http://schemas.openxmlformats.org/officeDocument/2006/customXml" ds:itemID="{CAF55FDF-E244-4E08-8F4E-C01EEE9A682C}">
  <ds:schemaRefs/>
</ds:datastoreItem>
</file>

<file path=customXml/itemProps4.xml><?xml version="1.0" encoding="utf-8"?>
<ds:datastoreItem xmlns:ds="http://schemas.openxmlformats.org/officeDocument/2006/customXml" ds:itemID="{30A595E1-4FB4-4C1F-A74B-700482EF81DD}">
  <ds:schemaRefs/>
</ds:datastoreItem>
</file>

<file path=customXml/itemProps5.xml><?xml version="1.0" encoding="utf-8"?>
<ds:datastoreItem xmlns:ds="http://schemas.openxmlformats.org/officeDocument/2006/customXml" ds:itemID="{5142C275-2D8D-4673-900C-D4B8FCF69950}">
  <ds:schemaRefs>
    <ds:schemaRef ds:uri="http://schemas.microsoft.com/DataMashup"/>
  </ds:schemaRefs>
</ds:datastoreItem>
</file>

<file path=customXml/itemProps6.xml><?xml version="1.0" encoding="utf-8"?>
<ds:datastoreItem xmlns:ds="http://schemas.openxmlformats.org/officeDocument/2006/customXml" ds:itemID="{E33A6ACA-FDED-4DB9-A0B9-42C7F8F5E437}">
  <ds:schemaRefs/>
</ds:datastoreItem>
</file>

<file path=customXml/itemProps7.xml><?xml version="1.0" encoding="utf-8"?>
<ds:datastoreItem xmlns:ds="http://schemas.openxmlformats.org/officeDocument/2006/customXml" ds:itemID="{4D9F524F-72EE-4397-9B54-77C94AC35D84}">
  <ds:schemaRefs/>
</ds:datastoreItem>
</file>

<file path=customXml/itemProps8.xml><?xml version="1.0" encoding="utf-8"?>
<ds:datastoreItem xmlns:ds="http://schemas.openxmlformats.org/officeDocument/2006/customXml" ds:itemID="{F734E930-2940-4A35-AE0A-9468C5B6DF07}">
  <ds:schemaRefs/>
</ds:datastoreItem>
</file>

<file path=customXml/itemProps9.xml><?xml version="1.0" encoding="utf-8"?>
<ds:datastoreItem xmlns:ds="http://schemas.openxmlformats.org/officeDocument/2006/customXml" ds:itemID="{9A77788E-BF82-4F4D-8366-9E24F5037442}">
  <ds:schemaRefs/>
</ds:datastoreItem>
</file>

<file path=customXml/itemProps10.xml><?xml version="1.0" encoding="utf-8"?>
<ds:datastoreItem xmlns:ds="http://schemas.openxmlformats.org/officeDocument/2006/customXml" ds:itemID="{CFA23266-F91C-46DF-A8DF-53E2378FE913}">
  <ds:schemaRefs/>
</ds:datastoreItem>
</file>

<file path=customXml/itemProps11.xml><?xml version="1.0" encoding="utf-8"?>
<ds:datastoreItem xmlns:ds="http://schemas.openxmlformats.org/officeDocument/2006/customXml" ds:itemID="{1448E964-3872-4C87-BED9-DDA4856F9CC5}">
  <ds:schemaRefs/>
</ds:datastoreItem>
</file>

<file path=customXml/itemProps12.xml><?xml version="1.0" encoding="utf-8"?>
<ds:datastoreItem xmlns:ds="http://schemas.openxmlformats.org/officeDocument/2006/customXml" ds:itemID="{2B8DDD58-655B-41F9-9F6F-F66F40580258}">
  <ds:schemaRefs/>
</ds:datastoreItem>
</file>

<file path=customXml/itemProps13.xml><?xml version="1.0" encoding="utf-8"?>
<ds:datastoreItem xmlns:ds="http://schemas.openxmlformats.org/officeDocument/2006/customXml" ds:itemID="{41967105-46DB-49E4-BE7A-84C810412C03}">
  <ds:schemaRefs/>
</ds:datastoreItem>
</file>

<file path=customXml/itemProps14.xml><?xml version="1.0" encoding="utf-8"?>
<ds:datastoreItem xmlns:ds="http://schemas.openxmlformats.org/officeDocument/2006/customXml" ds:itemID="{AECD9B77-7318-487F-9FCE-70075F56C531}">
  <ds:schemaRefs/>
</ds:datastoreItem>
</file>

<file path=customXml/itemProps15.xml><?xml version="1.0" encoding="utf-8"?>
<ds:datastoreItem xmlns:ds="http://schemas.openxmlformats.org/officeDocument/2006/customXml" ds:itemID="{CA0F7B6D-E272-48E7-AF12-5AC45B77E25F}">
  <ds:schemaRefs/>
</ds:datastoreItem>
</file>

<file path=customXml/itemProps16.xml><?xml version="1.0" encoding="utf-8"?>
<ds:datastoreItem xmlns:ds="http://schemas.openxmlformats.org/officeDocument/2006/customXml" ds:itemID="{D48AFEF8-9B57-47D6-B796-23E80463719F}">
  <ds:schemaRefs/>
</ds:datastoreItem>
</file>

<file path=customXml/itemProps17.xml><?xml version="1.0" encoding="utf-8"?>
<ds:datastoreItem xmlns:ds="http://schemas.openxmlformats.org/officeDocument/2006/customXml" ds:itemID="{A22605C6-40BE-411A-B3DE-188794D705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Dashboard</vt:lpstr>
      <vt:lpstr>daily er no. of patients</vt:lpstr>
      <vt:lpstr>average wait time of patients</vt:lpstr>
      <vt:lpstr>satisfictation score daily 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kathar</dc:creator>
  <cp:lastModifiedBy>Pranjal kathar</cp:lastModifiedBy>
  <dcterms:created xsi:type="dcterms:W3CDTF">2026-02-01T11:36:25Z</dcterms:created>
  <dcterms:modified xsi:type="dcterms:W3CDTF">2026-02-05T11:10:49Z</dcterms:modified>
</cp:coreProperties>
</file>